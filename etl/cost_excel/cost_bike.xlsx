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outhamanmailvahanan/Documents/ehd/leh_api/data_source/price_sheet/"/>
    </mc:Choice>
  </mc:AlternateContent>
  <xr:revisionPtr revIDLastSave="0" documentId="13_ncr:1_{DF603836-F8C1-7344-8925-8AEC0CB3047A}" xr6:coauthVersionLast="47" xr6:coauthVersionMax="47" xr10:uidLastSave="{00000000-0000-0000-0000-000000000000}"/>
  <bookViews>
    <workbookView minimized="1" xWindow="0" yWindow="760" windowWidth="30240" windowHeight="18880" activeTab="9" xr2:uid="{00000000-000D-0000-FFFF-FFFF00000000}"/>
  </bookViews>
  <sheets>
    <sheet name="index_sheet" sheetId="1" r:id="rId1"/>
    <sheet name="4D_leh_kardungla" sheetId="2" r:id="rId2"/>
    <sheet name="4D_manali" sheetId="3" r:id="rId3"/>
    <sheet name="5D_nubra_pangong" sheetId="4" r:id="rId4"/>
    <sheet name="6D_kashmir_srinagar" sheetId="5" r:id="rId5"/>
    <sheet name="6D_leh_nubra_hanle" sheetId="6" r:id="rId6"/>
    <sheet name="6D_leh_sham_pangong" sheetId="7" r:id="rId7"/>
    <sheet name="6D_leh_turtuk" sheetId="8" r:id="rId8"/>
    <sheet name="6D_spiti_manali" sheetId="9" r:id="rId9"/>
    <sheet name="7D_leh_turtuk_hanle" sheetId="10" r:id="rId10"/>
    <sheet name="7D_leh_lakes" sheetId="11" r:id="rId11"/>
    <sheet name="7D_leh_nubra_hanle" sheetId="12" r:id="rId12"/>
    <sheet name="8D_leh_umlingla" sheetId="13" r:id="rId13"/>
    <sheet name="8D_leh_tso_moriri_manali8D_leh_" sheetId="14" r:id="rId14"/>
    <sheet name="8D_manali_leh" sheetId="15" r:id="rId15"/>
    <sheet name="8D_srinagar_leh" sheetId="16" r:id="rId16"/>
    <sheet name="8D_leh_turtuk_hanle" sheetId="17" r:id="rId17"/>
    <sheet name="9D_leh_to_srinagar" sheetId="18" r:id="rId18"/>
    <sheet name="9D_srinagar_leh_manali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6" l="1"/>
  <c r="G37" i="16"/>
  <c r="G36" i="16"/>
  <c r="G35" i="16"/>
  <c r="G34" i="16"/>
  <c r="G32" i="16"/>
  <c r="G31" i="16"/>
  <c r="G30" i="16"/>
  <c r="G29" i="16"/>
  <c r="G28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7" i="16"/>
  <c r="G6" i="16"/>
  <c r="G5" i="16"/>
  <c r="G4" i="16"/>
  <c r="G3" i="16"/>
  <c r="G20" i="14"/>
  <c r="G14" i="14"/>
  <c r="G9" i="14"/>
  <c r="G8" i="14"/>
  <c r="G3" i="14"/>
  <c r="G2" i="14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7" i="8"/>
  <c r="G6" i="8"/>
  <c r="G5" i="8"/>
  <c r="G4" i="8"/>
  <c r="G3" i="8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7" i="7"/>
  <c r="G6" i="7"/>
  <c r="G5" i="7"/>
  <c r="G4" i="7"/>
  <c r="G3" i="7"/>
  <c r="G58" i="5"/>
</calcChain>
</file>

<file path=xl/sharedStrings.xml><?xml version="1.0" encoding="utf-8"?>
<sst xmlns="http://schemas.openxmlformats.org/spreadsheetml/2006/main" count="1868" uniqueCount="90">
  <si>
    <t>Itinerary_name</t>
  </si>
  <si>
    <t>duration</t>
  </si>
  <si>
    <t>Category</t>
  </si>
  <si>
    <t xml:space="preserve">Car Model </t>
  </si>
  <si>
    <t>No. of Packs</t>
  </si>
  <si>
    <t>Per Person</t>
  </si>
  <si>
    <t>Price exclude of GST (applicable to 5% GST) and standard cost</t>
  </si>
  <si>
    <t>comments</t>
  </si>
  <si>
    <t>6D_spiti_manali</t>
  </si>
  <si>
    <t>6D</t>
  </si>
  <si>
    <t>Standard</t>
  </si>
  <si>
    <t>Ertiga + Scorpio</t>
  </si>
  <si>
    <t>2 Person</t>
  </si>
  <si>
    <t>one double room</t>
  </si>
  <si>
    <t>4 Person</t>
  </si>
  <si>
    <t>two double room</t>
  </si>
  <si>
    <t>6 Person</t>
  </si>
  <si>
    <t>three double room</t>
  </si>
  <si>
    <t>Tempo Traveller</t>
  </si>
  <si>
    <t>8 Person</t>
  </si>
  <si>
    <t>four double room</t>
  </si>
  <si>
    <t>10 Person</t>
  </si>
  <si>
    <t>five double room</t>
  </si>
  <si>
    <t>12 Person</t>
  </si>
  <si>
    <t>six double room</t>
  </si>
  <si>
    <t>Xylo + Innova</t>
  </si>
  <si>
    <t>Crysta</t>
  </si>
  <si>
    <t>detailed_itinerary</t>
  </si>
  <si>
    <t>title</t>
  </si>
  <si>
    <t>id</t>
  </si>
  <si>
    <t>sheet_name</t>
  </si>
  <si>
    <t>Pangong &amp; Sham Wonders: Ladakh's Spiritual Gateway</t>
  </si>
  <si>
    <t>4D_leh_kardungla</t>
  </si>
  <si>
    <t>Manali &amp; Rohtang Pass Adventure - Himalayan Gateway Experience</t>
  </si>
  <si>
    <t>4D_manali</t>
  </si>
  <si>
    <t>Nubra to Pangong: The Complete Ladakh Triangle</t>
  </si>
  <si>
    <t>5D_nubra_pangong</t>
  </si>
  <si>
    <t>Kashmir Paradise - Srinagar, Sonamarg, Gulmarg &amp; Pahalgam Complete Tour</t>
  </si>
  <si>
    <t>6D_kashmir_srinagar</t>
  </si>
  <si>
    <t>Cosmic Peaks &amp; Sacred Valleys: The Hanle Expedition</t>
  </si>
  <si>
    <t>6D_leh_nubra_hanle</t>
  </si>
  <si>
    <t>Sham Valley &amp; Pangong: Mystical Ladakh in Six Days</t>
  </si>
  <si>
    <t>6D_leh_sham_pangong</t>
  </si>
  <si>
    <t>Turtuk to Turquoise: Balti Heritage &amp; Alpine Lakes</t>
  </si>
  <si>
    <t>6D_leh_turtuk</t>
  </si>
  <si>
    <t>Manali-Spiti Valley Adventure - High Altitude Himalayan Expedition</t>
  </si>
  <si>
    <t>6D_manali_spiti</t>
  </si>
  <si>
    <t>From Earth's Peak to Cosmic Skies: The Hanle Expedition</t>
  </si>
  <si>
    <t>7D_leh_turtuk_hanle</t>
  </si>
  <si>
    <t>Alpine Lakes &amp; Dark Skies: Morari Meets Hanle</t>
  </si>
  <si>
    <t>7D_leh_lakes</t>
  </si>
  <si>
    <t>7D_leh_nubra_hanle</t>
  </si>
  <si>
    <t>Tso Moriri to Manali: Alpine Lakes &amp; Himalayan Crossing</t>
  </si>
  <si>
    <t>8D_leh_tso_moriri_manali</t>
  </si>
  <si>
    <t>Umlingla &amp; Beyond: The Ultimate High-Altitude Challenge</t>
  </si>
  <si>
    <t>8D_leh_umlingla</t>
  </si>
  <si>
    <t>Manali to Leh: Epic High-Altitude Adventure</t>
  </si>
  <si>
    <t>8D_manali_leh</t>
  </si>
  <si>
    <t>XXX from AI</t>
  </si>
  <si>
    <t>8D_srinagar_leh</t>
  </si>
  <si>
    <t>Leh to Srinagar - Ultimate Ladakh Triangle with Nubra, Pangong &amp; Kashmir</t>
  </si>
  <si>
    <t>9D_leh_srinagar</t>
  </si>
  <si>
    <t>Srinagar to Manali via Tso Moriri: Kashmir-Ladakh-Himachal Symphony</t>
  </si>
  <si>
    <t>9D_srinagar_leh_manali</t>
  </si>
  <si>
    <t>Zanskar Deep Wilderness: From Sacred Valleys to Cosmic Peaks</t>
  </si>
  <si>
    <t>10D_zanskar_leh</t>
  </si>
  <si>
    <t>Hotels</t>
  </si>
  <si>
    <t>4D_ultimate_ladakh_triangle</t>
  </si>
  <si>
    <t>5D</t>
  </si>
  <si>
    <t>Premium</t>
  </si>
  <si>
    <t>4D</t>
  </si>
  <si>
    <t>1 Person</t>
  </si>
  <si>
    <t>one single room</t>
  </si>
  <si>
    <t>6D_leh_hanle_nubra</t>
  </si>
  <si>
    <t>6D_ultimate_ladakh_triangle.json</t>
  </si>
  <si>
    <t>7 Person</t>
  </si>
  <si>
    <t>three double room and one triple room</t>
  </si>
  <si>
    <t>9 Person</t>
  </si>
  <si>
    <t>7D</t>
  </si>
  <si>
    <t>8D</t>
  </si>
  <si>
    <t>8D_leh_tsomoriri_manali</t>
  </si>
  <si>
    <t>8D_ultimate_ladakh_triangle.json</t>
  </si>
  <si>
    <t>one triple room</t>
  </si>
  <si>
    <t>one double room and one triple room</t>
  </si>
  <si>
    <t>8D_leh_turtuk_hanle</t>
  </si>
  <si>
    <t>9D_leh_to_srinagar</t>
  </si>
  <si>
    <t>9D</t>
  </si>
  <si>
    <t>Deluxe</t>
  </si>
  <si>
    <t>Room Split</t>
  </si>
  <si>
    <t>room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</si>
</sst>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rgb="FFFF9300"/>
      <name val="Aptos Narrow"/>
      <family val="2"/>
      <scheme val="minor"/>
    </font>
    <font>
      <sz val="12"/>
      <color rgb="FF929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4D93D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="170" workbookViewId="0">
      <selection activeCell="C22" sqref="C22"/>
    </sheetView>
  </sheetViews>
  <sheetFormatPr baseColWidth="10" defaultRowHeight="16" x14ac:dyDescent="0.2"/>
  <cols>
    <col min="1" max="1" width="15.5" bestFit="1" customWidth="1"/>
    <col min="2" max="2" width="60.5" customWidth="1"/>
    <col min="3" max="3" width="21.1640625" customWidth="1"/>
    <col min="4" max="4" width="21" customWidth="1"/>
  </cols>
  <sheetData>
    <row r="1" spans="1:4" x14ac:dyDescent="0.2">
      <c r="A1" t="s">
        <v>27</v>
      </c>
      <c r="B1" t="s">
        <v>28</v>
      </c>
      <c r="C1" t="s">
        <v>29</v>
      </c>
      <c r="D1" t="s">
        <v>30</v>
      </c>
    </row>
    <row r="2" spans="1:4" x14ac:dyDescent="0.2">
      <c r="A2">
        <v>1</v>
      </c>
      <c r="B2" t="s">
        <v>31</v>
      </c>
      <c r="C2" t="s">
        <v>32</v>
      </c>
      <c r="D2" t="s">
        <v>32</v>
      </c>
    </row>
    <row r="3" spans="1:4" x14ac:dyDescent="0.2">
      <c r="A3">
        <v>2</v>
      </c>
      <c r="B3" t="s">
        <v>33</v>
      </c>
      <c r="C3" t="s">
        <v>34</v>
      </c>
      <c r="D3" t="s">
        <v>34</v>
      </c>
    </row>
    <row r="4" spans="1:4" x14ac:dyDescent="0.2">
      <c r="A4">
        <v>3</v>
      </c>
      <c r="B4" t="s">
        <v>35</v>
      </c>
      <c r="C4" t="s">
        <v>36</v>
      </c>
      <c r="D4" t="s">
        <v>36</v>
      </c>
    </row>
    <row r="5" spans="1:4" x14ac:dyDescent="0.2">
      <c r="A5">
        <v>4</v>
      </c>
      <c r="B5" t="s">
        <v>37</v>
      </c>
      <c r="C5" t="s">
        <v>38</v>
      </c>
      <c r="D5" t="s">
        <v>38</v>
      </c>
    </row>
    <row r="6" spans="1:4" x14ac:dyDescent="0.2">
      <c r="A6">
        <v>5</v>
      </c>
      <c r="B6" t="s">
        <v>39</v>
      </c>
      <c r="C6" t="s">
        <v>40</v>
      </c>
      <c r="D6" t="s">
        <v>40</v>
      </c>
    </row>
    <row r="7" spans="1:4" x14ac:dyDescent="0.2">
      <c r="A7">
        <v>6</v>
      </c>
      <c r="B7" t="s">
        <v>41</v>
      </c>
      <c r="C7" t="s">
        <v>42</v>
      </c>
      <c r="D7" t="s">
        <v>42</v>
      </c>
    </row>
    <row r="8" spans="1:4" x14ac:dyDescent="0.2">
      <c r="A8">
        <v>7</v>
      </c>
      <c r="B8" t="s">
        <v>43</v>
      </c>
      <c r="C8" t="s">
        <v>44</v>
      </c>
      <c r="D8" t="s">
        <v>44</v>
      </c>
    </row>
    <row r="9" spans="1:4" x14ac:dyDescent="0.2">
      <c r="A9">
        <v>8</v>
      </c>
      <c r="B9" t="s">
        <v>45</v>
      </c>
      <c r="C9" t="s">
        <v>46</v>
      </c>
      <c r="D9" t="s">
        <v>46</v>
      </c>
    </row>
    <row r="10" spans="1:4" x14ac:dyDescent="0.2">
      <c r="A10">
        <v>9</v>
      </c>
      <c r="B10" t="s">
        <v>47</v>
      </c>
      <c r="C10" t="s">
        <v>48</v>
      </c>
      <c r="D10" t="s">
        <v>48</v>
      </c>
    </row>
    <row r="11" spans="1:4" x14ac:dyDescent="0.2">
      <c r="A11">
        <v>10</v>
      </c>
      <c r="B11" t="s">
        <v>49</v>
      </c>
      <c r="C11" t="s">
        <v>50</v>
      </c>
      <c r="D11" t="s">
        <v>50</v>
      </c>
    </row>
    <row r="12" spans="1:4" x14ac:dyDescent="0.2">
      <c r="A12">
        <v>11</v>
      </c>
      <c r="B12" t="s">
        <v>47</v>
      </c>
      <c r="C12" t="s">
        <v>51</v>
      </c>
      <c r="D12" t="s">
        <v>51</v>
      </c>
    </row>
    <row r="13" spans="1:4" x14ac:dyDescent="0.2">
      <c r="A13">
        <v>12</v>
      </c>
      <c r="B13" t="s">
        <v>52</v>
      </c>
      <c r="C13" t="s">
        <v>53</v>
      </c>
      <c r="D13" t="s">
        <v>53</v>
      </c>
    </row>
    <row r="14" spans="1:4" x14ac:dyDescent="0.2">
      <c r="A14">
        <v>13</v>
      </c>
      <c r="B14" t="s">
        <v>54</v>
      </c>
      <c r="C14" t="s">
        <v>55</v>
      </c>
      <c r="D14" t="s">
        <v>55</v>
      </c>
    </row>
    <row r="15" spans="1:4" x14ac:dyDescent="0.2">
      <c r="A15">
        <v>14</v>
      </c>
      <c r="B15" t="s">
        <v>56</v>
      </c>
      <c r="C15" t="s">
        <v>57</v>
      </c>
      <c r="D15" t="s">
        <v>57</v>
      </c>
    </row>
    <row r="16" spans="1:4" x14ac:dyDescent="0.2">
      <c r="A16">
        <v>15</v>
      </c>
      <c r="B16" t="s">
        <v>58</v>
      </c>
      <c r="C16" t="s">
        <v>59</v>
      </c>
      <c r="D16" t="s">
        <v>59</v>
      </c>
    </row>
    <row r="17" spans="1:4" x14ac:dyDescent="0.2">
      <c r="A17">
        <v>16</v>
      </c>
      <c r="B17" t="s">
        <v>60</v>
      </c>
      <c r="C17" t="s">
        <v>61</v>
      </c>
      <c r="D17" t="s">
        <v>61</v>
      </c>
    </row>
    <row r="18" spans="1:4" x14ac:dyDescent="0.2">
      <c r="A18">
        <v>17</v>
      </c>
      <c r="B18" t="s">
        <v>62</v>
      </c>
      <c r="C18" t="s">
        <v>63</v>
      </c>
      <c r="D18" t="s">
        <v>63</v>
      </c>
    </row>
    <row r="19" spans="1:4" x14ac:dyDescent="0.2">
      <c r="A19">
        <v>18</v>
      </c>
      <c r="B19" t="s">
        <v>64</v>
      </c>
      <c r="C19" t="s">
        <v>65</v>
      </c>
      <c r="D19" t="s">
        <v>65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activeCell="C1" sqref="C1:E1048576"/>
    </sheetView>
  </sheetViews>
  <sheetFormatPr baseColWidth="10" defaultRowHeight="16" x14ac:dyDescent="0.2"/>
  <cols>
    <col min="1" max="1" width="24.6640625" bestFit="1" customWidth="1"/>
    <col min="4" max="4" width="13.83203125" bestFit="1" customWidth="1"/>
    <col min="8" max="8" width="15.83203125" bestFit="1" customWidth="1"/>
  </cols>
  <sheetData>
    <row r="1" spans="1:8" ht="136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66</v>
      </c>
      <c r="F1" s="16" t="s">
        <v>4</v>
      </c>
      <c r="G1" s="17" t="s">
        <v>6</v>
      </c>
      <c r="H1" s="16" t="s">
        <v>88</v>
      </c>
    </row>
    <row r="2" spans="1:8" ht="34" customHeight="1" x14ac:dyDescent="0.2">
      <c r="A2" s="18" t="s">
        <v>67</v>
      </c>
      <c r="B2" s="18" t="s">
        <v>68</v>
      </c>
      <c r="C2" s="26" t="s">
        <v>10</v>
      </c>
      <c r="D2" s="30" t="s">
        <v>11</v>
      </c>
      <c r="E2" s="26" t="s">
        <v>10</v>
      </c>
      <c r="F2" s="19" t="s">
        <v>12</v>
      </c>
      <c r="G2" s="20">
        <v>16000</v>
      </c>
      <c r="H2" s="20" t="s">
        <v>13</v>
      </c>
    </row>
    <row r="3" spans="1:8" x14ac:dyDescent="0.2">
      <c r="A3" s="18"/>
      <c r="B3" s="18"/>
      <c r="C3" s="27"/>
      <c r="D3" s="31"/>
      <c r="E3" s="27"/>
      <c r="F3" s="19" t="s">
        <v>14</v>
      </c>
      <c r="G3" s="20">
        <v>13000</v>
      </c>
      <c r="H3" s="20" t="s">
        <v>15</v>
      </c>
    </row>
    <row r="4" spans="1:8" x14ac:dyDescent="0.2">
      <c r="A4" s="18"/>
      <c r="B4" s="18"/>
      <c r="C4" s="27"/>
      <c r="D4" s="32"/>
      <c r="E4" s="27"/>
      <c r="F4" s="19" t="s">
        <v>16</v>
      </c>
      <c r="G4" s="20">
        <v>11500</v>
      </c>
      <c r="H4" s="20" t="s">
        <v>17</v>
      </c>
    </row>
    <row r="5" spans="1:8" x14ac:dyDescent="0.2">
      <c r="A5" s="18"/>
      <c r="B5" s="18"/>
      <c r="C5" s="27"/>
      <c r="D5" s="26" t="s">
        <v>18</v>
      </c>
      <c r="E5" s="27"/>
      <c r="F5" s="19" t="s">
        <v>19</v>
      </c>
      <c r="G5" s="20">
        <v>10000</v>
      </c>
      <c r="H5" s="20" t="s">
        <v>20</v>
      </c>
    </row>
    <row r="6" spans="1:8" x14ac:dyDescent="0.2">
      <c r="A6" s="18"/>
      <c r="B6" s="18"/>
      <c r="C6" s="27"/>
      <c r="D6" s="27"/>
      <c r="E6" s="27"/>
      <c r="F6" s="19" t="s">
        <v>21</v>
      </c>
      <c r="G6" s="20">
        <v>9000</v>
      </c>
      <c r="H6" s="20" t="s">
        <v>22</v>
      </c>
    </row>
    <row r="7" spans="1:8" x14ac:dyDescent="0.2">
      <c r="A7" s="18"/>
      <c r="B7" s="18"/>
      <c r="C7" s="27"/>
      <c r="D7" s="28"/>
      <c r="E7" s="27"/>
      <c r="F7" s="19" t="s">
        <v>23</v>
      </c>
      <c r="G7" s="20">
        <v>8000</v>
      </c>
      <c r="H7" s="20" t="s">
        <v>24</v>
      </c>
    </row>
    <row r="8" spans="1:8" x14ac:dyDescent="0.2">
      <c r="A8" s="18"/>
      <c r="B8" s="18"/>
      <c r="C8" s="27"/>
      <c r="D8" s="30" t="s">
        <v>11</v>
      </c>
      <c r="E8" s="27"/>
      <c r="F8" s="19" t="s">
        <v>12</v>
      </c>
      <c r="G8" s="20">
        <v>16000</v>
      </c>
      <c r="H8" s="20" t="s">
        <v>13</v>
      </c>
    </row>
    <row r="9" spans="1:8" x14ac:dyDescent="0.2">
      <c r="A9" s="18"/>
      <c r="B9" s="18"/>
      <c r="C9" s="27"/>
      <c r="D9" s="31"/>
      <c r="E9" s="27"/>
      <c r="F9" s="19" t="s">
        <v>14</v>
      </c>
      <c r="G9" s="20">
        <v>13000</v>
      </c>
      <c r="H9" s="20" t="s">
        <v>15</v>
      </c>
    </row>
    <row r="10" spans="1:8" x14ac:dyDescent="0.2">
      <c r="A10" s="18"/>
      <c r="B10" s="18"/>
      <c r="C10" s="27"/>
      <c r="D10" s="32"/>
      <c r="E10" s="27"/>
      <c r="F10" s="19" t="s">
        <v>16</v>
      </c>
      <c r="G10" s="20">
        <v>11500</v>
      </c>
      <c r="H10" s="20" t="s">
        <v>17</v>
      </c>
    </row>
    <row r="11" spans="1:8" x14ac:dyDescent="0.2">
      <c r="A11" s="18"/>
      <c r="B11" s="18"/>
      <c r="C11" s="27"/>
      <c r="D11" s="26" t="s">
        <v>18</v>
      </c>
      <c r="E11" s="27"/>
      <c r="F11" s="19" t="s">
        <v>19</v>
      </c>
      <c r="G11" s="20">
        <v>10000</v>
      </c>
      <c r="H11" s="20" t="s">
        <v>20</v>
      </c>
    </row>
    <row r="12" spans="1:8" x14ac:dyDescent="0.2">
      <c r="A12" s="18"/>
      <c r="B12" s="18"/>
      <c r="C12" s="27"/>
      <c r="D12" s="27"/>
      <c r="E12" s="27"/>
      <c r="F12" s="19" t="s">
        <v>21</v>
      </c>
      <c r="G12" s="20">
        <v>9000</v>
      </c>
      <c r="H12" s="20" t="s">
        <v>22</v>
      </c>
    </row>
    <row r="13" spans="1:8" x14ac:dyDescent="0.2">
      <c r="A13" s="18"/>
      <c r="B13" s="18"/>
      <c r="C13" s="28"/>
      <c r="D13" s="28"/>
      <c r="E13" s="28"/>
      <c r="F13" s="19" t="s">
        <v>23</v>
      </c>
      <c r="G13" s="20">
        <v>8000</v>
      </c>
      <c r="H13" s="20" t="s">
        <v>24</v>
      </c>
    </row>
    <row r="14" spans="1:8" x14ac:dyDescent="0.2">
      <c r="A14" s="18"/>
      <c r="B14" s="18"/>
      <c r="C14" s="34" t="s">
        <v>87</v>
      </c>
      <c r="D14" s="34" t="s">
        <v>25</v>
      </c>
      <c r="E14" s="34" t="s">
        <v>87</v>
      </c>
      <c r="F14" s="21" t="s">
        <v>12</v>
      </c>
      <c r="G14" s="22">
        <v>18000</v>
      </c>
      <c r="H14" s="22" t="s">
        <v>13</v>
      </c>
    </row>
    <row r="15" spans="1:8" x14ac:dyDescent="0.2">
      <c r="A15" s="18"/>
      <c r="B15" s="18"/>
      <c r="C15" s="35"/>
      <c r="D15" s="35"/>
      <c r="E15" s="35"/>
      <c r="F15" s="21" t="s">
        <v>14</v>
      </c>
      <c r="G15" s="22">
        <v>15000</v>
      </c>
      <c r="H15" s="22" t="s">
        <v>15</v>
      </c>
    </row>
    <row r="16" spans="1:8" x14ac:dyDescent="0.2">
      <c r="A16" s="18"/>
      <c r="B16" s="18"/>
      <c r="C16" s="35"/>
      <c r="D16" s="36"/>
      <c r="E16" s="35"/>
      <c r="F16" s="21" t="s">
        <v>16</v>
      </c>
      <c r="G16" s="22">
        <v>13900</v>
      </c>
      <c r="H16" s="22" t="s">
        <v>17</v>
      </c>
    </row>
    <row r="17" spans="1:8" x14ac:dyDescent="0.2">
      <c r="A17" s="18"/>
      <c r="B17" s="18"/>
      <c r="C17" s="35"/>
      <c r="D17" s="34" t="s">
        <v>18</v>
      </c>
      <c r="E17" s="35"/>
      <c r="F17" s="21" t="s">
        <v>19</v>
      </c>
      <c r="G17" s="22">
        <v>12500</v>
      </c>
      <c r="H17" s="22" t="s">
        <v>20</v>
      </c>
    </row>
    <row r="18" spans="1:8" x14ac:dyDescent="0.2">
      <c r="A18" s="18"/>
      <c r="B18" s="18"/>
      <c r="C18" s="35"/>
      <c r="D18" s="35"/>
      <c r="E18" s="35"/>
      <c r="F18" s="21" t="s">
        <v>21</v>
      </c>
      <c r="G18" s="22">
        <v>11000</v>
      </c>
      <c r="H18" s="22" t="s">
        <v>22</v>
      </c>
    </row>
    <row r="19" spans="1:8" x14ac:dyDescent="0.2">
      <c r="A19" s="18"/>
      <c r="B19" s="18"/>
      <c r="C19" s="35"/>
      <c r="D19" s="36"/>
      <c r="E19" s="35"/>
      <c r="F19" s="21" t="s">
        <v>23</v>
      </c>
      <c r="G19" s="22">
        <v>10000</v>
      </c>
      <c r="H19" s="22" t="s">
        <v>24</v>
      </c>
    </row>
    <row r="20" spans="1:8" x14ac:dyDescent="0.2">
      <c r="A20" s="18"/>
      <c r="B20" s="18"/>
      <c r="C20" s="35"/>
      <c r="D20" s="34" t="s">
        <v>25</v>
      </c>
      <c r="E20" s="35"/>
      <c r="F20" s="21" t="s">
        <v>12</v>
      </c>
      <c r="G20" s="22">
        <v>18000</v>
      </c>
      <c r="H20" s="22" t="s">
        <v>13</v>
      </c>
    </row>
    <row r="21" spans="1:8" x14ac:dyDescent="0.2">
      <c r="A21" s="18"/>
      <c r="B21" s="18"/>
      <c r="C21" s="35"/>
      <c r="D21" s="35"/>
      <c r="E21" s="35"/>
      <c r="F21" s="21" t="s">
        <v>14</v>
      </c>
      <c r="G21" s="22">
        <v>15000</v>
      </c>
      <c r="H21" s="22" t="s">
        <v>15</v>
      </c>
    </row>
    <row r="22" spans="1:8" x14ac:dyDescent="0.2">
      <c r="A22" s="18"/>
      <c r="B22" s="18"/>
      <c r="C22" s="35"/>
      <c r="D22" s="36"/>
      <c r="E22" s="35"/>
      <c r="F22" s="21" t="s">
        <v>16</v>
      </c>
      <c r="G22" s="22">
        <v>13900</v>
      </c>
      <c r="H22" s="22" t="s">
        <v>17</v>
      </c>
    </row>
    <row r="23" spans="1:8" x14ac:dyDescent="0.2">
      <c r="A23" s="18"/>
      <c r="B23" s="18"/>
      <c r="C23" s="35"/>
      <c r="D23" s="34" t="s">
        <v>18</v>
      </c>
      <c r="E23" s="35"/>
      <c r="F23" s="21" t="s">
        <v>19</v>
      </c>
      <c r="G23" s="22">
        <v>12500</v>
      </c>
      <c r="H23" s="22" t="s">
        <v>20</v>
      </c>
    </row>
    <row r="24" spans="1:8" x14ac:dyDescent="0.2">
      <c r="A24" s="18"/>
      <c r="B24" s="18"/>
      <c r="C24" s="35"/>
      <c r="D24" s="35"/>
      <c r="E24" s="35"/>
      <c r="F24" s="21" t="s">
        <v>21</v>
      </c>
      <c r="G24" s="22">
        <v>11000</v>
      </c>
      <c r="H24" s="22" t="s">
        <v>22</v>
      </c>
    </row>
    <row r="25" spans="1:8" x14ac:dyDescent="0.2">
      <c r="A25" s="18"/>
      <c r="B25" s="18"/>
      <c r="C25" s="36"/>
      <c r="D25" s="36"/>
      <c r="E25" s="36"/>
      <c r="F25" s="21" t="s">
        <v>23</v>
      </c>
      <c r="G25" s="22">
        <v>10000</v>
      </c>
      <c r="H25" s="22" t="s">
        <v>24</v>
      </c>
    </row>
    <row r="26" spans="1:8" x14ac:dyDescent="0.2">
      <c r="A26" s="23"/>
      <c r="B26" s="23"/>
      <c r="C26" s="38" t="s">
        <v>69</v>
      </c>
      <c r="D26" s="38" t="s">
        <v>26</v>
      </c>
      <c r="E26" s="38" t="s">
        <v>69</v>
      </c>
      <c r="F26" s="23" t="s">
        <v>12</v>
      </c>
      <c r="G26" s="24">
        <v>21000</v>
      </c>
      <c r="H26" s="24" t="s">
        <v>13</v>
      </c>
    </row>
    <row r="27" spans="1:8" x14ac:dyDescent="0.2">
      <c r="A27" s="23"/>
      <c r="B27" s="23"/>
      <c r="C27" s="39"/>
      <c r="D27" s="39"/>
      <c r="E27" s="39"/>
      <c r="F27" s="23" t="s">
        <v>14</v>
      </c>
      <c r="G27" s="24">
        <v>18000</v>
      </c>
      <c r="H27" s="24" t="s">
        <v>15</v>
      </c>
    </row>
    <row r="28" spans="1:8" x14ac:dyDescent="0.2">
      <c r="A28" s="23"/>
      <c r="B28" s="23"/>
      <c r="C28" s="39"/>
      <c r="D28" s="40"/>
      <c r="E28" s="39"/>
      <c r="F28" s="23" t="s">
        <v>16</v>
      </c>
      <c r="G28" s="24">
        <v>16000</v>
      </c>
      <c r="H28" s="24" t="s">
        <v>17</v>
      </c>
    </row>
    <row r="29" spans="1:8" x14ac:dyDescent="0.2">
      <c r="A29" s="23"/>
      <c r="B29" s="23"/>
      <c r="C29" s="39"/>
      <c r="D29" s="38" t="s">
        <v>18</v>
      </c>
      <c r="E29" s="39"/>
      <c r="F29" s="23" t="s">
        <v>19</v>
      </c>
      <c r="G29" s="24">
        <v>14500</v>
      </c>
      <c r="H29" s="24" t="s">
        <v>20</v>
      </c>
    </row>
    <row r="30" spans="1:8" x14ac:dyDescent="0.2">
      <c r="A30" s="23"/>
      <c r="B30" s="23"/>
      <c r="C30" s="39"/>
      <c r="D30" s="39"/>
      <c r="E30" s="39"/>
      <c r="F30" s="23" t="s">
        <v>21</v>
      </c>
      <c r="G30" s="24">
        <v>13000</v>
      </c>
      <c r="H30" s="24" t="s">
        <v>22</v>
      </c>
    </row>
    <row r="31" spans="1:8" x14ac:dyDescent="0.2">
      <c r="A31" s="23"/>
      <c r="B31" s="23"/>
      <c r="C31" s="39"/>
      <c r="D31" s="40"/>
      <c r="E31" s="39"/>
      <c r="F31" s="23" t="s">
        <v>23</v>
      </c>
      <c r="G31" s="24">
        <v>12000</v>
      </c>
      <c r="H31" s="24" t="s">
        <v>24</v>
      </c>
    </row>
    <row r="32" spans="1:8" x14ac:dyDescent="0.2">
      <c r="A32" s="23"/>
      <c r="B32" s="23"/>
      <c r="C32" s="39"/>
      <c r="D32" s="38" t="s">
        <v>26</v>
      </c>
      <c r="E32" s="39"/>
      <c r="F32" s="23" t="s">
        <v>12</v>
      </c>
      <c r="G32" s="24">
        <v>21000</v>
      </c>
      <c r="H32" s="24" t="s">
        <v>13</v>
      </c>
    </row>
    <row r="33" spans="1:8" x14ac:dyDescent="0.2">
      <c r="A33" s="23"/>
      <c r="B33" s="23"/>
      <c r="C33" s="39"/>
      <c r="D33" s="39"/>
      <c r="E33" s="39"/>
      <c r="F33" s="23" t="s">
        <v>14</v>
      </c>
      <c r="G33" s="24">
        <v>18000</v>
      </c>
      <c r="H33" s="24" t="s">
        <v>15</v>
      </c>
    </row>
    <row r="34" spans="1:8" x14ac:dyDescent="0.2">
      <c r="A34" s="23"/>
      <c r="B34" s="23"/>
      <c r="C34" s="39"/>
      <c r="D34" s="40"/>
      <c r="E34" s="39"/>
      <c r="F34" s="23" t="s">
        <v>16</v>
      </c>
      <c r="G34" s="24">
        <v>16000</v>
      </c>
      <c r="H34" s="24" t="s">
        <v>17</v>
      </c>
    </row>
    <row r="35" spans="1:8" x14ac:dyDescent="0.2">
      <c r="A35" s="23"/>
      <c r="B35" s="23"/>
      <c r="C35" s="39"/>
      <c r="D35" s="38" t="s">
        <v>18</v>
      </c>
      <c r="E35" s="39"/>
      <c r="F35" s="23" t="s">
        <v>19</v>
      </c>
      <c r="G35" s="24">
        <v>14500</v>
      </c>
      <c r="H35" s="24" t="s">
        <v>20</v>
      </c>
    </row>
    <row r="36" spans="1:8" x14ac:dyDescent="0.2">
      <c r="A36" s="23"/>
      <c r="B36" s="23"/>
      <c r="C36" s="39"/>
      <c r="D36" s="39"/>
      <c r="E36" s="39"/>
      <c r="F36" s="23" t="s">
        <v>21</v>
      </c>
      <c r="G36" s="24">
        <v>13000</v>
      </c>
      <c r="H36" s="24" t="s">
        <v>22</v>
      </c>
    </row>
    <row r="37" spans="1:8" x14ac:dyDescent="0.2">
      <c r="A37" s="23"/>
      <c r="B37" s="23"/>
      <c r="C37" s="40"/>
      <c r="D37" s="40"/>
      <c r="E37" s="40"/>
      <c r="F37" s="23" t="s">
        <v>23</v>
      </c>
      <c r="G37" s="24">
        <v>12000</v>
      </c>
      <c r="H37" s="24" t="s">
        <v>24</v>
      </c>
    </row>
  </sheetData>
  <mergeCells count="18">
    <mergeCell ref="E14:E25"/>
    <mergeCell ref="E26:E37"/>
    <mergeCell ref="C14:C25"/>
    <mergeCell ref="C26:C37"/>
    <mergeCell ref="D14:D16"/>
    <mergeCell ref="D17:D19"/>
    <mergeCell ref="D20:D22"/>
    <mergeCell ref="D23:D25"/>
    <mergeCell ref="D26:D28"/>
    <mergeCell ref="D29:D31"/>
    <mergeCell ref="D32:D34"/>
    <mergeCell ref="D35:D37"/>
    <mergeCell ref="C2:C13"/>
    <mergeCell ref="D2:D4"/>
    <mergeCell ref="D5:D7"/>
    <mergeCell ref="D8:D10"/>
    <mergeCell ref="D11:D13"/>
    <mergeCell ref="E2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4" max="4" width="13.83203125" bestFit="1" customWidth="1"/>
  </cols>
  <sheetData>
    <row r="1" spans="1:8" ht="136" customHeight="1" x14ac:dyDescent="0.2">
      <c r="A1" s="1" t="s">
        <v>0</v>
      </c>
      <c r="B1" s="1" t="s">
        <v>1</v>
      </c>
      <c r="C1" s="16" t="s">
        <v>2</v>
      </c>
      <c r="D1" s="16" t="s">
        <v>3</v>
      </c>
      <c r="E1" s="16" t="s">
        <v>66</v>
      </c>
      <c r="F1" s="1" t="s">
        <v>4</v>
      </c>
      <c r="G1" s="2" t="s">
        <v>6</v>
      </c>
      <c r="H1" s="1" t="s">
        <v>89</v>
      </c>
    </row>
    <row r="2" spans="1:8" x14ac:dyDescent="0.2">
      <c r="A2" t="s">
        <v>34</v>
      </c>
      <c r="B2" t="s">
        <v>70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12500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11500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10500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10000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9000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8000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12500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11500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10500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10000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9000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8000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v>14500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13000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12000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11000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10500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9500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v>14500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13000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12000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11000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10500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9500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13000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16500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15000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14000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13000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12000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13000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16500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15000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14000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13000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12000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1" max="1" width="28.6640625" bestFit="1" customWidth="1"/>
    <col min="4" max="4" width="13.83203125" bestFit="1" customWidth="1"/>
  </cols>
  <sheetData>
    <row r="1" spans="1:8" ht="136" customHeight="1" x14ac:dyDescent="0.2">
      <c r="A1" s="1" t="s">
        <v>0</v>
      </c>
      <c r="B1" s="1" t="s">
        <v>1</v>
      </c>
      <c r="C1" s="16" t="s">
        <v>2</v>
      </c>
      <c r="D1" s="16" t="s">
        <v>3</v>
      </c>
      <c r="E1" s="16" t="s">
        <v>66</v>
      </c>
      <c r="F1" s="1" t="s">
        <v>4</v>
      </c>
      <c r="G1" s="2" t="s">
        <v>6</v>
      </c>
      <c r="H1" s="1" t="s">
        <v>89</v>
      </c>
    </row>
    <row r="2" spans="1:8" x14ac:dyDescent="0.2">
      <c r="A2" t="s">
        <v>36</v>
      </c>
      <c r="B2" t="s">
        <v>68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16000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12000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10000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9000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8000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7500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16000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12000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10000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9000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8000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7500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v>19500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14000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13000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12000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11000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10500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v>19500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14000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13000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12000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11000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10500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21000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17500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16000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14500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14000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13000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21000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17500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16000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14500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14000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13000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8"/>
  <sheetViews>
    <sheetView workbookViewId="0">
      <selection activeCell="H1" sqref="H1:H1048576"/>
    </sheetView>
  </sheetViews>
  <sheetFormatPr baseColWidth="10" defaultRowHeight="16" x14ac:dyDescent="0.2"/>
  <cols>
    <col min="1" max="1" width="18.1640625" bestFit="1" customWidth="1"/>
    <col min="4" max="4" width="13.83203125" bestFit="1" customWidth="1"/>
  </cols>
  <sheetData>
    <row r="1" spans="1:8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s="9" t="s">
        <v>6</v>
      </c>
      <c r="H1" s="1" t="s">
        <v>89</v>
      </c>
    </row>
    <row r="2" spans="1:8" x14ac:dyDescent="0.2">
      <c r="A2" t="s">
        <v>38</v>
      </c>
      <c r="B2" t="s">
        <v>9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23000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19000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17500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16000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14500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12500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23000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19000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17500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16000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14500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12500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5">
        <v>28000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5">
        <v>24500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5">
        <v>22500</v>
      </c>
      <c r="H16" s="6" t="s">
        <v>17</v>
      </c>
    </row>
    <row r="17" spans="3:8" x14ac:dyDescent="0.2">
      <c r="C17" s="35"/>
      <c r="D17" s="34" t="s">
        <v>18</v>
      </c>
      <c r="E17" s="35"/>
      <c r="F17" s="5" t="s">
        <v>19</v>
      </c>
      <c r="G17" s="5">
        <v>21000</v>
      </c>
      <c r="H17" s="6" t="s">
        <v>20</v>
      </c>
    </row>
    <row r="18" spans="3:8" x14ac:dyDescent="0.2">
      <c r="C18" s="35"/>
      <c r="D18" s="35"/>
      <c r="E18" s="35"/>
      <c r="F18" s="5" t="s">
        <v>21</v>
      </c>
      <c r="G18" s="5">
        <v>19999</v>
      </c>
      <c r="H18" s="6" t="s">
        <v>22</v>
      </c>
    </row>
    <row r="19" spans="3:8" x14ac:dyDescent="0.2">
      <c r="C19" s="35"/>
      <c r="D19" s="36"/>
      <c r="E19" s="35"/>
      <c r="F19" s="5" t="s">
        <v>23</v>
      </c>
      <c r="G19" s="5">
        <v>18000</v>
      </c>
      <c r="H19" s="6" t="s">
        <v>24</v>
      </c>
    </row>
    <row r="20" spans="3:8" x14ac:dyDescent="0.2">
      <c r="C20" s="35"/>
      <c r="D20" s="34" t="s">
        <v>25</v>
      </c>
      <c r="E20" s="35"/>
      <c r="F20" s="5" t="s">
        <v>12</v>
      </c>
      <c r="G20" s="5">
        <v>28000</v>
      </c>
      <c r="H20" s="6" t="s">
        <v>13</v>
      </c>
    </row>
    <row r="21" spans="3:8" x14ac:dyDescent="0.2">
      <c r="C21" s="35"/>
      <c r="D21" s="35"/>
      <c r="E21" s="35"/>
      <c r="F21" s="5" t="s">
        <v>14</v>
      </c>
      <c r="G21" s="5">
        <v>24500</v>
      </c>
      <c r="H21" s="6" t="s">
        <v>15</v>
      </c>
    </row>
    <row r="22" spans="3:8" x14ac:dyDescent="0.2">
      <c r="C22" s="35"/>
      <c r="D22" s="36"/>
      <c r="E22" s="35"/>
      <c r="F22" s="5" t="s">
        <v>16</v>
      </c>
      <c r="G22" s="5">
        <v>22500</v>
      </c>
      <c r="H22" s="6" t="s">
        <v>17</v>
      </c>
    </row>
    <row r="23" spans="3:8" x14ac:dyDescent="0.2">
      <c r="C23" s="35"/>
      <c r="D23" s="34" t="s">
        <v>18</v>
      </c>
      <c r="E23" s="35"/>
      <c r="F23" s="5" t="s">
        <v>19</v>
      </c>
      <c r="G23" s="5">
        <v>21000</v>
      </c>
      <c r="H23" s="6" t="s">
        <v>20</v>
      </c>
    </row>
    <row r="24" spans="3:8" x14ac:dyDescent="0.2">
      <c r="C24" s="35"/>
      <c r="D24" s="35"/>
      <c r="E24" s="35"/>
      <c r="F24" s="5" t="s">
        <v>21</v>
      </c>
      <c r="G24" s="5">
        <v>19999</v>
      </c>
      <c r="H24" s="6" t="s">
        <v>22</v>
      </c>
    </row>
    <row r="25" spans="3:8" x14ac:dyDescent="0.2">
      <c r="C25" s="36"/>
      <c r="D25" s="36"/>
      <c r="E25" s="36"/>
      <c r="F25" s="5" t="s">
        <v>23</v>
      </c>
      <c r="G25" s="5">
        <v>18000</v>
      </c>
      <c r="H25" s="6" t="s">
        <v>24</v>
      </c>
    </row>
    <row r="26" spans="3:8" x14ac:dyDescent="0.2">
      <c r="C26" s="38" t="s">
        <v>69</v>
      </c>
      <c r="D26" s="38" t="s">
        <v>26</v>
      </c>
      <c r="E26" s="38" t="s">
        <v>69</v>
      </c>
      <c r="F26" s="7" t="s">
        <v>12</v>
      </c>
      <c r="G26" s="7">
        <v>32000</v>
      </c>
      <c r="H26" s="8" t="s">
        <v>13</v>
      </c>
    </row>
    <row r="27" spans="3:8" x14ac:dyDescent="0.2">
      <c r="C27" s="39"/>
      <c r="D27" s="39"/>
      <c r="E27" s="39"/>
      <c r="F27" s="7" t="s">
        <v>14</v>
      </c>
      <c r="G27" s="7">
        <v>29000</v>
      </c>
      <c r="H27" s="8" t="s">
        <v>15</v>
      </c>
    </row>
    <row r="28" spans="3:8" x14ac:dyDescent="0.2">
      <c r="C28" s="39"/>
      <c r="D28" s="40"/>
      <c r="E28" s="39"/>
      <c r="F28" s="7" t="s">
        <v>16</v>
      </c>
      <c r="G28" s="7">
        <v>27500</v>
      </c>
      <c r="H28" s="8" t="s">
        <v>17</v>
      </c>
    </row>
    <row r="29" spans="3:8" x14ac:dyDescent="0.2">
      <c r="C29" s="39"/>
      <c r="D29" s="38" t="s">
        <v>18</v>
      </c>
      <c r="E29" s="39"/>
      <c r="F29" s="7" t="s">
        <v>19</v>
      </c>
      <c r="G29" s="7">
        <v>25500</v>
      </c>
      <c r="H29" s="8" t="s">
        <v>20</v>
      </c>
    </row>
    <row r="30" spans="3:8" x14ac:dyDescent="0.2">
      <c r="C30" s="39"/>
      <c r="D30" s="39"/>
      <c r="E30" s="39"/>
      <c r="F30" s="7" t="s">
        <v>21</v>
      </c>
      <c r="G30" s="7">
        <v>23000</v>
      </c>
      <c r="H30" s="8" t="s">
        <v>22</v>
      </c>
    </row>
    <row r="31" spans="3:8" x14ac:dyDescent="0.2">
      <c r="C31" s="39"/>
      <c r="D31" s="40"/>
      <c r="E31" s="39"/>
      <c r="F31" s="7" t="s">
        <v>23</v>
      </c>
      <c r="G31" s="7">
        <v>22000</v>
      </c>
      <c r="H31" s="8" t="s">
        <v>24</v>
      </c>
    </row>
    <row r="32" spans="3:8" x14ac:dyDescent="0.2">
      <c r="C32" s="39"/>
      <c r="D32" s="38" t="s">
        <v>26</v>
      </c>
      <c r="E32" s="39"/>
      <c r="F32" s="7" t="s">
        <v>12</v>
      </c>
      <c r="G32" s="7">
        <v>32000</v>
      </c>
      <c r="H32" s="8" t="s">
        <v>13</v>
      </c>
    </row>
    <row r="33" spans="1:8" x14ac:dyDescent="0.2">
      <c r="C33" s="39"/>
      <c r="D33" s="39"/>
      <c r="E33" s="39"/>
      <c r="F33" s="7" t="s">
        <v>14</v>
      </c>
      <c r="G33" s="7">
        <v>29000</v>
      </c>
      <c r="H33" s="8" t="s">
        <v>15</v>
      </c>
    </row>
    <row r="34" spans="1:8" x14ac:dyDescent="0.2">
      <c r="C34" s="39"/>
      <c r="D34" s="40"/>
      <c r="E34" s="39"/>
      <c r="F34" s="7" t="s">
        <v>16</v>
      </c>
      <c r="G34" s="7">
        <v>27500</v>
      </c>
      <c r="H34" s="8" t="s">
        <v>17</v>
      </c>
    </row>
    <row r="35" spans="1:8" x14ac:dyDescent="0.2">
      <c r="C35" s="39"/>
      <c r="D35" s="38" t="s">
        <v>18</v>
      </c>
      <c r="E35" s="39"/>
      <c r="F35" s="7" t="s">
        <v>19</v>
      </c>
      <c r="G35" s="7">
        <v>25500</v>
      </c>
      <c r="H35" s="8" t="s">
        <v>20</v>
      </c>
    </row>
    <row r="36" spans="1:8" x14ac:dyDescent="0.2">
      <c r="C36" s="39"/>
      <c r="D36" s="39"/>
      <c r="E36" s="39"/>
      <c r="F36" s="7" t="s">
        <v>21</v>
      </c>
      <c r="G36" s="7">
        <v>23000</v>
      </c>
      <c r="H36" s="8" t="s">
        <v>22</v>
      </c>
    </row>
    <row r="37" spans="1:8" x14ac:dyDescent="0.2">
      <c r="C37" s="40"/>
      <c r="D37" s="40"/>
      <c r="E37" s="40"/>
      <c r="F37" s="7" t="s">
        <v>23</v>
      </c>
      <c r="G37" s="7">
        <v>22000</v>
      </c>
      <c r="H37" s="8" t="s">
        <v>24</v>
      </c>
    </row>
    <row r="38" spans="1:8" x14ac:dyDescent="0.2">
      <c r="F38" s="5"/>
      <c r="G38" s="6"/>
    </row>
    <row r="39" spans="1:8" x14ac:dyDescent="0.2">
      <c r="F39" s="5"/>
      <c r="G39" s="6"/>
    </row>
    <row r="40" spans="1:8" x14ac:dyDescent="0.2">
      <c r="F40" s="5"/>
      <c r="G40" s="6"/>
    </row>
    <row r="41" spans="1:8" x14ac:dyDescent="0.2">
      <c r="F41" s="5"/>
      <c r="G41" s="6"/>
    </row>
    <row r="42" spans="1:8" x14ac:dyDescent="0.2">
      <c r="F42" s="5"/>
      <c r="G42" s="6"/>
    </row>
    <row r="43" spans="1:8" x14ac:dyDescent="0.2">
      <c r="F43" s="5"/>
      <c r="G43" s="6"/>
    </row>
    <row r="44" spans="1:8" x14ac:dyDescent="0.2">
      <c r="F44" s="5"/>
      <c r="G44" s="6"/>
    </row>
    <row r="45" spans="1:8" x14ac:dyDescent="0.2">
      <c r="F45" s="5"/>
      <c r="G45" s="6"/>
    </row>
    <row r="46" spans="1:8" x14ac:dyDescent="0.2">
      <c r="A46" s="7"/>
      <c r="B46" s="7"/>
      <c r="F46" s="7"/>
      <c r="G46" s="8"/>
    </row>
    <row r="47" spans="1:8" x14ac:dyDescent="0.2">
      <c r="A47" s="7"/>
      <c r="B47" s="7"/>
      <c r="F47" s="7"/>
      <c r="G47" s="8"/>
    </row>
    <row r="48" spans="1:8" x14ac:dyDescent="0.2">
      <c r="A48" s="7"/>
      <c r="B48" s="7"/>
      <c r="F48" s="7"/>
      <c r="G48" s="8"/>
    </row>
    <row r="49" spans="1:7" x14ac:dyDescent="0.2">
      <c r="A49" s="7"/>
      <c r="B49" s="7"/>
      <c r="F49" s="7"/>
      <c r="G49" s="8"/>
    </row>
    <row r="50" spans="1:7" x14ac:dyDescent="0.2">
      <c r="A50" s="7"/>
      <c r="B50" s="7"/>
      <c r="F50" s="7"/>
      <c r="G50" s="8"/>
    </row>
    <row r="51" spans="1:7" x14ac:dyDescent="0.2">
      <c r="A51" s="7"/>
      <c r="B51" s="7"/>
      <c r="F51" s="7"/>
      <c r="G51" s="8"/>
    </row>
    <row r="52" spans="1:7" x14ac:dyDescent="0.2">
      <c r="A52" s="7"/>
      <c r="B52" s="7"/>
      <c r="F52" s="7"/>
      <c r="G52" s="8"/>
    </row>
    <row r="53" spans="1:7" x14ac:dyDescent="0.2">
      <c r="A53" s="7"/>
      <c r="B53" s="7"/>
      <c r="F53" s="7"/>
      <c r="G53" s="8"/>
    </row>
    <row r="54" spans="1:7" x14ac:dyDescent="0.2">
      <c r="A54" s="7"/>
      <c r="B54" s="7"/>
      <c r="F54" s="7"/>
      <c r="G54" s="8"/>
    </row>
    <row r="55" spans="1:7" x14ac:dyDescent="0.2">
      <c r="A55" s="7"/>
      <c r="B55" s="7"/>
      <c r="F55" s="7"/>
      <c r="G55" s="8"/>
    </row>
    <row r="56" spans="1:7" x14ac:dyDescent="0.2">
      <c r="A56" s="7"/>
      <c r="B56" s="7"/>
      <c r="F56" s="7"/>
      <c r="G56" s="8"/>
    </row>
    <row r="57" spans="1:7" x14ac:dyDescent="0.2">
      <c r="A57" s="7"/>
      <c r="B57" s="7"/>
      <c r="F57" s="7" t="s">
        <v>71</v>
      </c>
      <c r="G57" s="8">
        <v>37000</v>
      </c>
    </row>
    <row r="58" spans="1:7" x14ac:dyDescent="0.2">
      <c r="A58" s="7"/>
      <c r="B58" s="7"/>
      <c r="F58" s="7" t="s">
        <v>12</v>
      </c>
      <c r="G58" s="8">
        <f>G57*2</f>
        <v>74000</v>
      </c>
    </row>
    <row r="59" spans="1:7" x14ac:dyDescent="0.2">
      <c r="A59" s="7"/>
      <c r="B59" s="7"/>
      <c r="F59" s="7"/>
      <c r="G59" s="8"/>
    </row>
    <row r="60" spans="1:7" x14ac:dyDescent="0.2">
      <c r="A60" s="7"/>
      <c r="B60" s="7"/>
      <c r="F60" s="7"/>
      <c r="G60" s="8"/>
    </row>
    <row r="61" spans="1:7" x14ac:dyDescent="0.2">
      <c r="A61" s="7"/>
      <c r="B61" s="7"/>
      <c r="F61" s="7"/>
      <c r="G61" s="8"/>
    </row>
    <row r="62" spans="1:7" x14ac:dyDescent="0.2">
      <c r="A62" s="7"/>
      <c r="B62" s="7"/>
      <c r="F62" s="7"/>
      <c r="G62" s="8"/>
    </row>
    <row r="63" spans="1:7" x14ac:dyDescent="0.2">
      <c r="A63" s="7"/>
      <c r="B63" s="7"/>
      <c r="F63" s="7"/>
      <c r="G63" s="8"/>
    </row>
    <row r="64" spans="1:7" x14ac:dyDescent="0.2">
      <c r="A64" s="7"/>
      <c r="B64" s="7"/>
      <c r="F64" s="7"/>
      <c r="G64" s="8"/>
    </row>
    <row r="65" spans="1:7" x14ac:dyDescent="0.2">
      <c r="A65" s="7"/>
      <c r="B65" s="7"/>
      <c r="F65" s="7"/>
      <c r="G65" s="8"/>
    </row>
    <row r="66" spans="1:7" x14ac:dyDescent="0.2">
      <c r="A66" s="7"/>
      <c r="B66" s="7"/>
      <c r="F66" s="7"/>
      <c r="G66" s="8"/>
    </row>
    <row r="67" spans="1:7" x14ac:dyDescent="0.2">
      <c r="A67" s="7"/>
      <c r="B67" s="7"/>
      <c r="F67" s="7"/>
      <c r="G67" s="8"/>
    </row>
    <row r="68" spans="1:7" x14ac:dyDescent="0.2">
      <c r="A68" s="7"/>
      <c r="B68" s="7"/>
      <c r="F68" s="7"/>
      <c r="G68" s="8"/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="111" workbookViewId="0">
      <selection activeCell="I1" sqref="I1:I1048576"/>
    </sheetView>
  </sheetViews>
  <sheetFormatPr baseColWidth="10" defaultRowHeight="16" x14ac:dyDescent="0.2"/>
  <cols>
    <col min="1" max="1" width="28.6640625" bestFit="1" customWidth="1"/>
    <col min="2" max="2" width="8" bestFit="1" customWidth="1"/>
    <col min="4" max="4" width="13.83203125" bestFit="1" customWidth="1"/>
    <col min="8" max="8" width="10" customWidth="1"/>
  </cols>
  <sheetData>
    <row r="1" spans="1:9" ht="54" customHeight="1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t="s">
        <v>5</v>
      </c>
      <c r="H1" s="10" t="s">
        <v>6</v>
      </c>
      <c r="I1" s="1" t="s">
        <v>89</v>
      </c>
    </row>
    <row r="2" spans="1:9" ht="16" customHeight="1" x14ac:dyDescent="0.2">
      <c r="A2" t="s">
        <v>73</v>
      </c>
      <c r="B2" t="s">
        <v>9</v>
      </c>
      <c r="C2" s="26" t="s">
        <v>10</v>
      </c>
      <c r="D2" s="30" t="s">
        <v>11</v>
      </c>
      <c r="E2" s="26" t="s">
        <v>10</v>
      </c>
      <c r="F2" s="3" t="s">
        <v>12</v>
      </c>
      <c r="G2" s="3">
        <v>19999</v>
      </c>
      <c r="H2" s="4"/>
      <c r="I2" s="4" t="s">
        <v>13</v>
      </c>
    </row>
    <row r="3" spans="1:9" x14ac:dyDescent="0.2">
      <c r="C3" s="27"/>
      <c r="D3" s="31"/>
      <c r="E3" s="27"/>
      <c r="F3" s="3" t="s">
        <v>14</v>
      </c>
      <c r="G3" s="3">
        <v>15999</v>
      </c>
      <c r="H3" s="4"/>
      <c r="I3" s="4" t="s">
        <v>15</v>
      </c>
    </row>
    <row r="4" spans="1:9" x14ac:dyDescent="0.2">
      <c r="C4" s="27"/>
      <c r="D4" s="32"/>
      <c r="E4" s="27"/>
      <c r="F4" s="3" t="s">
        <v>16</v>
      </c>
      <c r="G4" s="3">
        <v>12999</v>
      </c>
      <c r="H4" s="4"/>
      <c r="I4" s="4" t="s">
        <v>17</v>
      </c>
    </row>
    <row r="5" spans="1:9" x14ac:dyDescent="0.2">
      <c r="C5" s="27"/>
      <c r="D5" s="26" t="s">
        <v>18</v>
      </c>
      <c r="E5" s="27"/>
      <c r="F5" s="3" t="s">
        <v>19</v>
      </c>
      <c r="G5" s="3">
        <v>12000</v>
      </c>
      <c r="H5" s="4"/>
      <c r="I5" s="4" t="s">
        <v>20</v>
      </c>
    </row>
    <row r="6" spans="1:9" x14ac:dyDescent="0.2">
      <c r="C6" s="27"/>
      <c r="D6" s="27"/>
      <c r="E6" s="27"/>
      <c r="F6" s="3" t="s">
        <v>21</v>
      </c>
      <c r="G6" s="3">
        <v>11000</v>
      </c>
      <c r="H6" s="4"/>
      <c r="I6" s="4" t="s">
        <v>22</v>
      </c>
    </row>
    <row r="7" spans="1:9" x14ac:dyDescent="0.2">
      <c r="C7" s="27"/>
      <c r="D7" s="28"/>
      <c r="E7" s="27"/>
      <c r="F7" s="3" t="s">
        <v>23</v>
      </c>
      <c r="G7" s="3">
        <v>9500</v>
      </c>
      <c r="H7" s="4"/>
      <c r="I7" s="4" t="s">
        <v>24</v>
      </c>
    </row>
    <row r="8" spans="1:9" x14ac:dyDescent="0.2">
      <c r="C8" s="27"/>
      <c r="D8" s="30" t="s">
        <v>11</v>
      </c>
      <c r="E8" s="27"/>
      <c r="F8" s="3" t="s">
        <v>12</v>
      </c>
      <c r="G8" s="3">
        <v>19999</v>
      </c>
      <c r="H8" s="4"/>
      <c r="I8" s="4" t="s">
        <v>13</v>
      </c>
    </row>
    <row r="9" spans="1:9" x14ac:dyDescent="0.2">
      <c r="C9" s="27"/>
      <c r="D9" s="31"/>
      <c r="E9" s="27"/>
      <c r="F9" s="3" t="s">
        <v>14</v>
      </c>
      <c r="G9" s="3">
        <v>15999</v>
      </c>
      <c r="H9" s="4"/>
      <c r="I9" s="4" t="s">
        <v>15</v>
      </c>
    </row>
    <row r="10" spans="1:9" x14ac:dyDescent="0.2">
      <c r="C10" s="27"/>
      <c r="D10" s="32"/>
      <c r="E10" s="27"/>
      <c r="F10" s="3" t="s">
        <v>16</v>
      </c>
      <c r="G10" s="3">
        <v>12999</v>
      </c>
      <c r="H10" s="4"/>
      <c r="I10" s="4" t="s">
        <v>17</v>
      </c>
    </row>
    <row r="11" spans="1:9" x14ac:dyDescent="0.2">
      <c r="C11" s="27"/>
      <c r="D11" s="26" t="s">
        <v>18</v>
      </c>
      <c r="E11" s="27"/>
      <c r="F11" s="3" t="s">
        <v>19</v>
      </c>
      <c r="G11" s="3">
        <v>12000</v>
      </c>
      <c r="H11" s="4"/>
      <c r="I11" s="4" t="s">
        <v>20</v>
      </c>
    </row>
    <row r="12" spans="1:9" x14ac:dyDescent="0.2">
      <c r="C12" s="27"/>
      <c r="D12" s="27"/>
      <c r="E12" s="27"/>
      <c r="F12" s="3" t="s">
        <v>21</v>
      </c>
      <c r="G12" s="3">
        <v>11000</v>
      </c>
      <c r="H12" s="4"/>
      <c r="I12" s="4" t="s">
        <v>22</v>
      </c>
    </row>
    <row r="13" spans="1:9" x14ac:dyDescent="0.2">
      <c r="C13" s="28"/>
      <c r="D13" s="28"/>
      <c r="E13" s="28"/>
      <c r="F13" s="3" t="s">
        <v>23</v>
      </c>
      <c r="G13" s="3">
        <v>9500</v>
      </c>
      <c r="H13" s="4"/>
      <c r="I13" s="4" t="s">
        <v>24</v>
      </c>
    </row>
    <row r="14" spans="1:9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5">
        <v>24500</v>
      </c>
      <c r="H14" s="6"/>
      <c r="I14" s="6" t="s">
        <v>13</v>
      </c>
    </row>
    <row r="15" spans="1:9" x14ac:dyDescent="0.2">
      <c r="C15" s="35"/>
      <c r="D15" s="35"/>
      <c r="E15" s="35"/>
      <c r="F15" s="5" t="s">
        <v>14</v>
      </c>
      <c r="G15" s="5">
        <v>22000</v>
      </c>
      <c r="H15" s="6"/>
      <c r="I15" s="6" t="s">
        <v>15</v>
      </c>
    </row>
    <row r="16" spans="1:9" x14ac:dyDescent="0.2">
      <c r="C16" s="35"/>
      <c r="D16" s="36"/>
      <c r="E16" s="35"/>
      <c r="F16" s="5" t="s">
        <v>16</v>
      </c>
      <c r="G16" s="5">
        <v>20500</v>
      </c>
      <c r="H16" s="6"/>
      <c r="I16" s="6" t="s">
        <v>17</v>
      </c>
    </row>
    <row r="17" spans="1:9" x14ac:dyDescent="0.2">
      <c r="C17" s="35"/>
      <c r="D17" s="34" t="s">
        <v>18</v>
      </c>
      <c r="E17" s="35"/>
      <c r="F17" s="5" t="s">
        <v>19</v>
      </c>
      <c r="G17" s="5">
        <v>18000</v>
      </c>
      <c r="H17" s="6"/>
      <c r="I17" s="6" t="s">
        <v>20</v>
      </c>
    </row>
    <row r="18" spans="1:9" x14ac:dyDescent="0.2">
      <c r="C18" s="35"/>
      <c r="D18" s="35"/>
      <c r="E18" s="35"/>
      <c r="F18" s="5" t="s">
        <v>21</v>
      </c>
      <c r="G18" s="5">
        <v>16000</v>
      </c>
      <c r="H18" s="6"/>
      <c r="I18" s="6" t="s">
        <v>22</v>
      </c>
    </row>
    <row r="19" spans="1:9" x14ac:dyDescent="0.2">
      <c r="C19" s="35"/>
      <c r="D19" s="36"/>
      <c r="E19" s="35"/>
      <c r="F19" s="5" t="s">
        <v>23</v>
      </c>
      <c r="G19" s="5">
        <v>15000</v>
      </c>
      <c r="H19" s="6"/>
      <c r="I19" s="6" t="s">
        <v>24</v>
      </c>
    </row>
    <row r="20" spans="1:9" x14ac:dyDescent="0.2">
      <c r="C20" s="35"/>
      <c r="D20" s="34" t="s">
        <v>25</v>
      </c>
      <c r="E20" s="35"/>
      <c r="F20" s="5" t="s">
        <v>12</v>
      </c>
      <c r="G20" s="5">
        <v>24500</v>
      </c>
      <c r="H20" s="6"/>
      <c r="I20" s="6" t="s">
        <v>13</v>
      </c>
    </row>
    <row r="21" spans="1:9" x14ac:dyDescent="0.2">
      <c r="C21" s="35"/>
      <c r="D21" s="35"/>
      <c r="E21" s="35"/>
      <c r="F21" s="5" t="s">
        <v>14</v>
      </c>
      <c r="G21" s="5">
        <v>22000</v>
      </c>
      <c r="H21" s="6"/>
      <c r="I21" s="6" t="s">
        <v>15</v>
      </c>
    </row>
    <row r="22" spans="1:9" x14ac:dyDescent="0.2">
      <c r="C22" s="35"/>
      <c r="D22" s="36"/>
      <c r="E22" s="35"/>
      <c r="F22" s="5" t="s">
        <v>16</v>
      </c>
      <c r="G22" s="5">
        <v>20500</v>
      </c>
      <c r="H22" s="6"/>
      <c r="I22" s="6" t="s">
        <v>17</v>
      </c>
    </row>
    <row r="23" spans="1:9" x14ac:dyDescent="0.2">
      <c r="C23" s="35"/>
      <c r="D23" s="34" t="s">
        <v>18</v>
      </c>
      <c r="E23" s="35"/>
      <c r="F23" s="5" t="s">
        <v>19</v>
      </c>
      <c r="G23" s="5">
        <v>18000</v>
      </c>
      <c r="H23" s="6"/>
      <c r="I23" s="6" t="s">
        <v>20</v>
      </c>
    </row>
    <row r="24" spans="1:9" x14ac:dyDescent="0.2">
      <c r="C24" s="35"/>
      <c r="D24" s="35"/>
      <c r="E24" s="35"/>
      <c r="F24" s="5" t="s">
        <v>21</v>
      </c>
      <c r="G24" s="5">
        <v>16000</v>
      </c>
      <c r="H24" s="6"/>
      <c r="I24" s="6" t="s">
        <v>22</v>
      </c>
    </row>
    <row r="25" spans="1:9" x14ac:dyDescent="0.2">
      <c r="C25" s="36"/>
      <c r="D25" s="36"/>
      <c r="E25" s="36"/>
      <c r="F25" s="5" t="s">
        <v>23</v>
      </c>
      <c r="G25" s="5">
        <v>15000</v>
      </c>
      <c r="H25" s="6"/>
      <c r="I25" s="6" t="s">
        <v>24</v>
      </c>
    </row>
    <row r="26" spans="1:9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7">
        <v>28000</v>
      </c>
      <c r="H26" s="8"/>
      <c r="I26" s="8" t="s">
        <v>13</v>
      </c>
    </row>
    <row r="27" spans="1:9" x14ac:dyDescent="0.2">
      <c r="A27" s="7"/>
      <c r="B27" s="7"/>
      <c r="C27" s="39"/>
      <c r="D27" s="39"/>
      <c r="E27" s="39"/>
      <c r="F27" s="7" t="s">
        <v>14</v>
      </c>
      <c r="G27" s="7">
        <v>25500</v>
      </c>
      <c r="H27" s="8"/>
      <c r="I27" s="8" t="s">
        <v>15</v>
      </c>
    </row>
    <row r="28" spans="1:9" x14ac:dyDescent="0.2">
      <c r="A28" s="7"/>
      <c r="B28" s="7"/>
      <c r="C28" s="39"/>
      <c r="D28" s="40"/>
      <c r="E28" s="39"/>
      <c r="F28" s="7" t="s">
        <v>16</v>
      </c>
      <c r="G28" s="7">
        <v>23000</v>
      </c>
      <c r="H28" s="8"/>
      <c r="I28" s="8" t="s">
        <v>17</v>
      </c>
    </row>
    <row r="29" spans="1:9" x14ac:dyDescent="0.2">
      <c r="A29" s="7"/>
      <c r="B29" s="7"/>
      <c r="C29" s="39"/>
      <c r="D29" s="38" t="s">
        <v>18</v>
      </c>
      <c r="E29" s="39"/>
      <c r="F29" s="7" t="s">
        <v>19</v>
      </c>
      <c r="G29" s="7">
        <v>21500</v>
      </c>
      <c r="H29" s="8"/>
      <c r="I29" s="8" t="s">
        <v>20</v>
      </c>
    </row>
    <row r="30" spans="1:9" x14ac:dyDescent="0.2">
      <c r="A30" s="7"/>
      <c r="B30" s="7"/>
      <c r="C30" s="39"/>
      <c r="D30" s="39"/>
      <c r="E30" s="39"/>
      <c r="F30" s="7" t="s">
        <v>21</v>
      </c>
      <c r="G30" s="7">
        <v>20000</v>
      </c>
      <c r="H30" s="8"/>
      <c r="I30" s="8" t="s">
        <v>22</v>
      </c>
    </row>
    <row r="31" spans="1:9" x14ac:dyDescent="0.2">
      <c r="A31" s="7"/>
      <c r="B31" s="7"/>
      <c r="C31" s="39"/>
      <c r="D31" s="40"/>
      <c r="E31" s="39"/>
      <c r="F31" s="7" t="s">
        <v>23</v>
      </c>
      <c r="G31" s="7">
        <v>19000</v>
      </c>
      <c r="H31" s="8"/>
      <c r="I31" s="8" t="s">
        <v>24</v>
      </c>
    </row>
    <row r="32" spans="1:9" x14ac:dyDescent="0.2">
      <c r="A32" s="7"/>
      <c r="B32" s="7"/>
      <c r="C32" s="39"/>
      <c r="D32" s="38" t="s">
        <v>26</v>
      </c>
      <c r="E32" s="39"/>
      <c r="F32" s="7" t="s">
        <v>12</v>
      </c>
      <c r="G32" s="7">
        <v>28000</v>
      </c>
      <c r="H32" s="8"/>
      <c r="I32" s="8" t="s">
        <v>13</v>
      </c>
    </row>
    <row r="33" spans="1:9" x14ac:dyDescent="0.2">
      <c r="A33" s="7"/>
      <c r="B33" s="7"/>
      <c r="C33" s="39"/>
      <c r="D33" s="39"/>
      <c r="E33" s="39"/>
      <c r="F33" s="7" t="s">
        <v>14</v>
      </c>
      <c r="G33" s="7">
        <v>25500</v>
      </c>
      <c r="H33" s="8"/>
      <c r="I33" s="8" t="s">
        <v>15</v>
      </c>
    </row>
    <row r="34" spans="1:9" x14ac:dyDescent="0.2">
      <c r="A34" s="7"/>
      <c r="B34" s="7"/>
      <c r="C34" s="39"/>
      <c r="D34" s="40"/>
      <c r="E34" s="39"/>
      <c r="F34" s="7" t="s">
        <v>16</v>
      </c>
      <c r="G34" s="7">
        <v>23000</v>
      </c>
      <c r="H34" s="8"/>
      <c r="I34" s="8" t="s">
        <v>17</v>
      </c>
    </row>
    <row r="35" spans="1:9" x14ac:dyDescent="0.2">
      <c r="A35" s="7"/>
      <c r="B35" s="7"/>
      <c r="C35" s="39"/>
      <c r="D35" s="38" t="s">
        <v>18</v>
      </c>
      <c r="E35" s="39"/>
      <c r="F35" s="7" t="s">
        <v>19</v>
      </c>
      <c r="G35" s="7">
        <v>21500</v>
      </c>
      <c r="H35" s="8"/>
      <c r="I35" s="8" t="s">
        <v>20</v>
      </c>
    </row>
    <row r="36" spans="1:9" x14ac:dyDescent="0.2">
      <c r="A36" s="7"/>
      <c r="B36" s="7"/>
      <c r="C36" s="39"/>
      <c r="D36" s="39"/>
      <c r="E36" s="39"/>
      <c r="F36" s="7" t="s">
        <v>21</v>
      </c>
      <c r="G36" s="7">
        <v>20000</v>
      </c>
      <c r="H36" s="8"/>
      <c r="I36" s="8" t="s">
        <v>22</v>
      </c>
    </row>
    <row r="37" spans="1:9" x14ac:dyDescent="0.2">
      <c r="A37" s="7"/>
      <c r="B37" s="7"/>
      <c r="C37" s="40"/>
      <c r="D37" s="40"/>
      <c r="E37" s="40"/>
      <c r="F37" s="7" t="s">
        <v>23</v>
      </c>
      <c r="G37" s="7">
        <v>19000</v>
      </c>
      <c r="H37" s="8"/>
      <c r="I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zoomScale="125" workbookViewId="0">
      <selection activeCell="D2" sqref="D2:D4"/>
    </sheetView>
  </sheetViews>
  <sheetFormatPr baseColWidth="10" defaultRowHeight="16" x14ac:dyDescent="0.2"/>
  <cols>
    <col min="4" max="4" width="13.83203125" bestFit="1" customWidth="1"/>
    <col min="8" max="8" width="16" bestFit="1" customWidth="1"/>
  </cols>
  <sheetData>
    <row r="1" spans="1:8" ht="136" customHeight="1" x14ac:dyDescent="0.2">
      <c r="A1" s="1" t="s">
        <v>0</v>
      </c>
      <c r="B1" s="1" t="s">
        <v>1</v>
      </c>
      <c r="C1" s="16" t="s">
        <v>2</v>
      </c>
      <c r="D1" s="16" t="s">
        <v>3</v>
      </c>
      <c r="E1" s="16" t="s">
        <v>66</v>
      </c>
      <c r="F1" s="1" t="s">
        <v>4</v>
      </c>
      <c r="G1" s="2" t="s">
        <v>6</v>
      </c>
      <c r="H1" s="1" t="s">
        <v>89</v>
      </c>
    </row>
    <row r="2" spans="1:8" ht="16" customHeight="1" x14ac:dyDescent="0.2">
      <c r="A2" t="s">
        <v>74</v>
      </c>
      <c r="B2" t="s">
        <v>9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18500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f>13500</f>
        <v>13500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f>12500</f>
        <v>12500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f>11500</f>
        <v>11500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f>10500</f>
        <v>10500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f>9999</f>
        <v>9999</v>
      </c>
      <c r="H7" s="4" t="s">
        <v>24</v>
      </c>
    </row>
    <row r="8" spans="1:8" ht="16" customHeight="1" x14ac:dyDescent="0.2">
      <c r="C8" s="27"/>
      <c r="D8" s="30" t="s">
        <v>11</v>
      </c>
      <c r="E8" s="27"/>
      <c r="F8" s="3" t="s">
        <v>12</v>
      </c>
      <c r="G8" s="4">
        <v>18500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f>13500</f>
        <v>13500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f>12500</f>
        <v>12500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f>11500</f>
        <v>11500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f>10500</f>
        <v>10500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f>9999</f>
        <v>9999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f>23000</f>
        <v>23000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f>16800</f>
        <v>16800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f>14500</f>
        <v>14500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f>14200</f>
        <v>14200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f>13000</f>
        <v>13000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f>12800</f>
        <v>12800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f>23000</f>
        <v>23000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f>16800</f>
        <v>16800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f>14500</f>
        <v>14500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75</v>
      </c>
      <c r="G23" s="6">
        <f>13700</f>
        <v>13700</v>
      </c>
      <c r="H23" s="6" t="s">
        <v>20</v>
      </c>
    </row>
    <row r="24" spans="1:8" x14ac:dyDescent="0.2">
      <c r="C24" s="35"/>
      <c r="D24" s="35"/>
      <c r="E24" s="35"/>
      <c r="F24" s="5" t="s">
        <v>19</v>
      </c>
      <c r="G24" s="6">
        <f>14200</f>
        <v>14200</v>
      </c>
      <c r="H24" s="6" t="s">
        <v>22</v>
      </c>
    </row>
    <row r="25" spans="1:8" x14ac:dyDescent="0.2">
      <c r="C25" s="36"/>
      <c r="D25" s="36"/>
      <c r="E25" s="36"/>
      <c r="F25" s="5" t="s">
        <v>77</v>
      </c>
      <c r="G25" s="6">
        <f>13600</f>
        <v>13600</v>
      </c>
      <c r="H25" s="6" t="s">
        <v>24</v>
      </c>
    </row>
    <row r="26" spans="1:8" x14ac:dyDescent="0.2">
      <c r="C26" s="38" t="s">
        <v>69</v>
      </c>
      <c r="D26" s="38" t="s">
        <v>26</v>
      </c>
      <c r="E26" s="38" t="s">
        <v>69</v>
      </c>
      <c r="F26" s="5" t="s">
        <v>21</v>
      </c>
      <c r="G26" s="6">
        <f>13000</f>
        <v>13000</v>
      </c>
      <c r="H26" s="8" t="s">
        <v>13</v>
      </c>
    </row>
    <row r="27" spans="1:8" x14ac:dyDescent="0.2">
      <c r="C27" s="39"/>
      <c r="D27" s="39"/>
      <c r="E27" s="39"/>
      <c r="F27" s="5" t="s">
        <v>23</v>
      </c>
      <c r="G27" s="6">
        <f>12800</f>
        <v>12800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12</v>
      </c>
      <c r="G28" s="8">
        <f>26500</f>
        <v>26500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14</v>
      </c>
      <c r="G29" s="8">
        <f>19800</f>
        <v>19800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16</v>
      </c>
      <c r="G30" s="8">
        <f>17999</f>
        <v>17999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19</v>
      </c>
      <c r="G31" s="8">
        <f>16500</f>
        <v>16500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21</v>
      </c>
      <c r="G32" s="8">
        <f>15900</f>
        <v>15900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23</v>
      </c>
      <c r="G33" s="8">
        <f>15300</f>
        <v>15300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12</v>
      </c>
      <c r="G34" s="8">
        <f>26500</f>
        <v>26500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14</v>
      </c>
      <c r="G35" s="8">
        <f>19800</f>
        <v>19800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16</v>
      </c>
      <c r="G36" s="8">
        <f>17999</f>
        <v>17999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19</v>
      </c>
      <c r="G37" s="8">
        <f>16500</f>
        <v>16500</v>
      </c>
      <c r="H37" s="8" t="s">
        <v>24</v>
      </c>
    </row>
    <row r="38" spans="1:8" x14ac:dyDescent="0.2">
      <c r="A38" s="7"/>
      <c r="B38" s="7"/>
      <c r="F38" s="7" t="s">
        <v>21</v>
      </c>
      <c r="G38" s="8">
        <f>15900</f>
        <v>15900</v>
      </c>
    </row>
    <row r="39" spans="1:8" x14ac:dyDescent="0.2">
      <c r="A39" s="7"/>
      <c r="B39" s="7"/>
      <c r="F39" s="7" t="s">
        <v>23</v>
      </c>
      <c r="G39" s="8">
        <f>15300</f>
        <v>15300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workbookViewId="0">
      <selection activeCell="H1" sqref="H1:H1048576"/>
    </sheetView>
  </sheetViews>
  <sheetFormatPr baseColWidth="10" defaultRowHeight="16" x14ac:dyDescent="0.2"/>
  <cols>
    <col min="4" max="4" width="13.83203125" bestFit="1" customWidth="1"/>
  </cols>
  <sheetData>
    <row r="1" spans="1:8" ht="136" customHeight="1" x14ac:dyDescent="0.2">
      <c r="A1" s="1" t="s">
        <v>0</v>
      </c>
      <c r="B1" s="1" t="s">
        <v>1</v>
      </c>
      <c r="C1" s="16" t="s">
        <v>2</v>
      </c>
      <c r="D1" s="16" t="s">
        <v>3</v>
      </c>
      <c r="E1" s="16" t="s">
        <v>66</v>
      </c>
      <c r="F1" s="1" t="s">
        <v>4</v>
      </c>
      <c r="G1" s="2" t="s">
        <v>6</v>
      </c>
      <c r="H1" s="1" t="s">
        <v>89</v>
      </c>
    </row>
    <row r="2" spans="1:8" ht="16" customHeight="1" x14ac:dyDescent="0.2">
      <c r="A2" t="s">
        <v>74</v>
      </c>
      <c r="B2" t="s">
        <v>9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18500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f>13500</f>
        <v>13500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f>12500</f>
        <v>12500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f>11500</f>
        <v>11500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f>10500</f>
        <v>10500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f>9999</f>
        <v>9999</v>
      </c>
      <c r="H7" s="4" t="s">
        <v>24</v>
      </c>
    </row>
    <row r="8" spans="1:8" ht="16" customHeight="1" x14ac:dyDescent="0.2">
      <c r="C8" s="27"/>
      <c r="D8" s="30" t="s">
        <v>11</v>
      </c>
      <c r="E8" s="27"/>
      <c r="F8" s="3" t="s">
        <v>12</v>
      </c>
      <c r="G8" s="4">
        <v>18500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f>13500</f>
        <v>13500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f>12500</f>
        <v>12500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f>11500</f>
        <v>11500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f>10500</f>
        <v>10500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f>9999</f>
        <v>9999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f>23000</f>
        <v>23000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f>16800</f>
        <v>16800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f>14500</f>
        <v>14500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f>14200</f>
        <v>14200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f>13000</f>
        <v>13000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f>12800</f>
        <v>12800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f>23000</f>
        <v>23000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f>16800</f>
        <v>16800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f>14500</f>
        <v>14500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75</v>
      </c>
      <c r="G23" s="6">
        <f>13700</f>
        <v>13700</v>
      </c>
      <c r="H23" s="6" t="s">
        <v>20</v>
      </c>
    </row>
    <row r="24" spans="1:8" x14ac:dyDescent="0.2">
      <c r="C24" s="35"/>
      <c r="D24" s="35"/>
      <c r="E24" s="35"/>
      <c r="F24" s="5" t="s">
        <v>19</v>
      </c>
      <c r="G24" s="6">
        <f>14200</f>
        <v>14200</v>
      </c>
      <c r="H24" s="6" t="s">
        <v>22</v>
      </c>
    </row>
    <row r="25" spans="1:8" x14ac:dyDescent="0.2">
      <c r="C25" s="36"/>
      <c r="D25" s="36"/>
      <c r="E25" s="36"/>
      <c r="F25" s="5" t="s">
        <v>77</v>
      </c>
      <c r="G25" s="6">
        <f>13600</f>
        <v>13600</v>
      </c>
      <c r="H25" s="6" t="s">
        <v>24</v>
      </c>
    </row>
    <row r="26" spans="1:8" x14ac:dyDescent="0.2">
      <c r="C26" s="38" t="s">
        <v>69</v>
      </c>
      <c r="D26" s="38" t="s">
        <v>26</v>
      </c>
      <c r="E26" s="38" t="s">
        <v>69</v>
      </c>
      <c r="F26" s="5" t="s">
        <v>21</v>
      </c>
      <c r="G26" s="6">
        <f>13000</f>
        <v>13000</v>
      </c>
      <c r="H26" s="8" t="s">
        <v>13</v>
      </c>
    </row>
    <row r="27" spans="1:8" x14ac:dyDescent="0.2">
      <c r="C27" s="39"/>
      <c r="D27" s="39"/>
      <c r="E27" s="39"/>
      <c r="F27" s="5" t="s">
        <v>23</v>
      </c>
      <c r="G27" s="6">
        <f>12800</f>
        <v>12800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12</v>
      </c>
      <c r="G28" s="8">
        <f>26500</f>
        <v>26500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14</v>
      </c>
      <c r="G29" s="8">
        <f>19800</f>
        <v>19800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16</v>
      </c>
      <c r="G30" s="8">
        <f>17999</f>
        <v>17999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19</v>
      </c>
      <c r="G31" s="8">
        <f>16500</f>
        <v>16500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21</v>
      </c>
      <c r="G32" s="8">
        <f>15900</f>
        <v>15900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23</v>
      </c>
      <c r="G33" s="8">
        <f>15300</f>
        <v>15300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12</v>
      </c>
      <c r="G34" s="8">
        <f>26500</f>
        <v>26500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14</v>
      </c>
      <c r="G35" s="8">
        <f>19800</f>
        <v>19800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16</v>
      </c>
      <c r="G36" s="8">
        <f>17999</f>
        <v>17999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19</v>
      </c>
      <c r="G37" s="8">
        <f>16500</f>
        <v>16500</v>
      </c>
      <c r="H37" s="8" t="s">
        <v>24</v>
      </c>
    </row>
    <row r="38" spans="1:8" x14ac:dyDescent="0.2">
      <c r="A38" s="7"/>
      <c r="B38" s="7"/>
      <c r="F38" s="7" t="s">
        <v>21</v>
      </c>
      <c r="G38" s="8">
        <f>15900</f>
        <v>15900</v>
      </c>
    </row>
    <row r="39" spans="1:8" x14ac:dyDescent="0.2">
      <c r="A39" s="7"/>
      <c r="B39" s="7"/>
      <c r="F39" s="7" t="s">
        <v>23</v>
      </c>
      <c r="G39" s="8">
        <f>15300</f>
        <v>15300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"/>
  <sheetViews>
    <sheetView workbookViewId="0">
      <selection activeCell="I1" sqref="I1:I1048576"/>
    </sheetView>
  </sheetViews>
  <sheetFormatPr baseColWidth="10" defaultRowHeight="16" x14ac:dyDescent="0.2"/>
  <cols>
    <col min="4" max="4" width="13.83203125" bestFit="1" customWidth="1"/>
  </cols>
  <sheetData>
    <row r="1" spans="1:9" ht="136" customHeight="1" x14ac:dyDescent="0.2">
      <c r="A1" s="11" t="s">
        <v>0</v>
      </c>
      <c r="B1" s="11" t="s">
        <v>1</v>
      </c>
      <c r="C1" s="16" t="s">
        <v>2</v>
      </c>
      <c r="D1" s="16" t="s">
        <v>3</v>
      </c>
      <c r="E1" s="16" t="s">
        <v>66</v>
      </c>
      <c r="F1" s="11" t="s">
        <v>4</v>
      </c>
      <c r="G1" s="11" t="s">
        <v>5</v>
      </c>
      <c r="H1" s="12" t="s">
        <v>6</v>
      </c>
      <c r="I1" s="1" t="s">
        <v>89</v>
      </c>
    </row>
    <row r="2" spans="1:9" x14ac:dyDescent="0.2">
      <c r="A2" s="11" t="s">
        <v>8</v>
      </c>
      <c r="B2" s="11" t="s">
        <v>9</v>
      </c>
      <c r="C2" s="26" t="s">
        <v>10</v>
      </c>
      <c r="D2" s="30" t="s">
        <v>11</v>
      </c>
      <c r="E2" s="26" t="s">
        <v>10</v>
      </c>
      <c r="F2" s="13" t="s">
        <v>12</v>
      </c>
      <c r="G2" s="13">
        <v>23000</v>
      </c>
      <c r="H2" s="14"/>
      <c r="I2" s="4" t="s">
        <v>13</v>
      </c>
    </row>
    <row r="3" spans="1:9" x14ac:dyDescent="0.2">
      <c r="A3" s="11"/>
      <c r="B3" s="11"/>
      <c r="C3" s="27"/>
      <c r="D3" s="31"/>
      <c r="E3" s="27"/>
      <c r="F3" s="13" t="s">
        <v>14</v>
      </c>
      <c r="G3" s="13">
        <v>21000</v>
      </c>
      <c r="H3" s="14"/>
      <c r="I3" s="4" t="s">
        <v>15</v>
      </c>
    </row>
    <row r="4" spans="1:9" x14ac:dyDescent="0.2">
      <c r="A4" s="11"/>
      <c r="B4" s="11"/>
      <c r="C4" s="27"/>
      <c r="D4" s="32"/>
      <c r="E4" s="27"/>
      <c r="F4" s="13" t="s">
        <v>16</v>
      </c>
      <c r="G4" s="13">
        <v>20000</v>
      </c>
      <c r="H4" s="14"/>
      <c r="I4" s="4" t="s">
        <v>17</v>
      </c>
    </row>
    <row r="5" spans="1:9" x14ac:dyDescent="0.2">
      <c r="A5" s="11"/>
      <c r="B5" s="11"/>
      <c r="C5" s="27"/>
      <c r="D5" s="26" t="s">
        <v>18</v>
      </c>
      <c r="E5" s="27"/>
      <c r="F5" s="13" t="s">
        <v>19</v>
      </c>
      <c r="G5" s="13">
        <v>19500</v>
      </c>
      <c r="H5" s="14"/>
      <c r="I5" s="4" t="s">
        <v>20</v>
      </c>
    </row>
    <row r="6" spans="1:9" x14ac:dyDescent="0.2">
      <c r="A6" s="11"/>
      <c r="B6" s="11"/>
      <c r="C6" s="27"/>
      <c r="D6" s="27"/>
      <c r="E6" s="27"/>
      <c r="F6" s="13" t="s">
        <v>21</v>
      </c>
      <c r="G6" s="13">
        <v>17000</v>
      </c>
      <c r="H6" s="14"/>
      <c r="I6" s="4" t="s">
        <v>22</v>
      </c>
    </row>
    <row r="7" spans="1:9" x14ac:dyDescent="0.2">
      <c r="A7" s="11"/>
      <c r="B7" s="11"/>
      <c r="C7" s="27"/>
      <c r="D7" s="28"/>
      <c r="E7" s="27"/>
      <c r="F7" s="13" t="s">
        <v>23</v>
      </c>
      <c r="G7" s="13">
        <v>16000</v>
      </c>
      <c r="H7" s="14"/>
      <c r="I7" s="4" t="s">
        <v>24</v>
      </c>
    </row>
    <row r="8" spans="1:9" x14ac:dyDescent="0.2">
      <c r="A8" s="11"/>
      <c r="B8" s="11"/>
      <c r="C8" s="27"/>
      <c r="D8" s="30" t="s">
        <v>11</v>
      </c>
      <c r="E8" s="27"/>
      <c r="F8" s="13" t="s">
        <v>12</v>
      </c>
      <c r="G8" s="13">
        <v>23000</v>
      </c>
      <c r="H8" s="14"/>
      <c r="I8" s="4" t="s">
        <v>13</v>
      </c>
    </row>
    <row r="9" spans="1:9" x14ac:dyDescent="0.2">
      <c r="A9" s="11"/>
      <c r="B9" s="11"/>
      <c r="C9" s="27"/>
      <c r="D9" s="31"/>
      <c r="E9" s="27"/>
      <c r="F9" s="13" t="s">
        <v>14</v>
      </c>
      <c r="G9" s="13">
        <v>21000</v>
      </c>
      <c r="H9" s="14"/>
      <c r="I9" s="4" t="s">
        <v>15</v>
      </c>
    </row>
    <row r="10" spans="1:9" x14ac:dyDescent="0.2">
      <c r="A10" s="11"/>
      <c r="B10" s="11"/>
      <c r="C10" s="27"/>
      <c r="D10" s="32"/>
      <c r="E10" s="27"/>
      <c r="F10" s="13" t="s">
        <v>16</v>
      </c>
      <c r="G10" s="13">
        <v>20000</v>
      </c>
      <c r="H10" s="14"/>
      <c r="I10" s="4" t="s">
        <v>17</v>
      </c>
    </row>
    <row r="11" spans="1:9" x14ac:dyDescent="0.2">
      <c r="A11" s="11"/>
      <c r="B11" s="11"/>
      <c r="C11" s="27"/>
      <c r="D11" s="26" t="s">
        <v>18</v>
      </c>
      <c r="E11" s="27"/>
      <c r="F11" s="13" t="s">
        <v>19</v>
      </c>
      <c r="G11" s="13">
        <v>19500</v>
      </c>
      <c r="H11" s="14"/>
      <c r="I11" s="4" t="s">
        <v>20</v>
      </c>
    </row>
    <row r="12" spans="1:9" x14ac:dyDescent="0.2">
      <c r="A12" s="11"/>
      <c r="B12" s="11"/>
      <c r="C12" s="27"/>
      <c r="D12" s="27"/>
      <c r="E12" s="27"/>
      <c r="F12" s="13" t="s">
        <v>21</v>
      </c>
      <c r="G12" s="13">
        <v>17000</v>
      </c>
      <c r="H12" s="14"/>
      <c r="I12" s="4" t="s">
        <v>22</v>
      </c>
    </row>
    <row r="13" spans="1:9" x14ac:dyDescent="0.2">
      <c r="A13" s="11"/>
      <c r="B13" s="11"/>
      <c r="C13" s="28"/>
      <c r="D13" s="28"/>
      <c r="E13" s="28"/>
      <c r="F13" s="13" t="s">
        <v>23</v>
      </c>
      <c r="G13" s="13">
        <v>16000</v>
      </c>
      <c r="H13" s="14"/>
      <c r="I13" s="4" t="s">
        <v>24</v>
      </c>
    </row>
    <row r="14" spans="1:9" x14ac:dyDescent="0.2">
      <c r="A14" s="11"/>
      <c r="B14" s="11"/>
      <c r="C14" s="34" t="s">
        <v>87</v>
      </c>
      <c r="D14" s="34" t="s">
        <v>25</v>
      </c>
      <c r="E14" s="34" t="s">
        <v>87</v>
      </c>
      <c r="F14" s="5" t="s">
        <v>12</v>
      </c>
      <c r="G14" s="5">
        <v>28000</v>
      </c>
      <c r="H14" s="6"/>
      <c r="I14" s="6" t="s">
        <v>13</v>
      </c>
    </row>
    <row r="15" spans="1:9" x14ac:dyDescent="0.2">
      <c r="A15" s="11"/>
      <c r="B15" s="11"/>
      <c r="C15" s="35"/>
      <c r="D15" s="35"/>
      <c r="E15" s="35"/>
      <c r="F15" s="5" t="s">
        <v>14</v>
      </c>
      <c r="G15" s="5">
        <v>26000</v>
      </c>
      <c r="H15" s="6"/>
      <c r="I15" s="6" t="s">
        <v>15</v>
      </c>
    </row>
    <row r="16" spans="1:9" x14ac:dyDescent="0.2">
      <c r="A16" s="11"/>
      <c r="B16" s="11"/>
      <c r="C16" s="35"/>
      <c r="D16" s="36"/>
      <c r="E16" s="35"/>
      <c r="F16" s="5" t="s">
        <v>16</v>
      </c>
      <c r="G16" s="5">
        <v>24000</v>
      </c>
      <c r="H16" s="6"/>
      <c r="I16" s="6" t="s">
        <v>17</v>
      </c>
    </row>
    <row r="17" spans="1:9" x14ac:dyDescent="0.2">
      <c r="A17" s="11"/>
      <c r="B17" s="11"/>
      <c r="C17" s="35"/>
      <c r="D17" s="34" t="s">
        <v>18</v>
      </c>
      <c r="E17" s="35"/>
      <c r="F17" s="5" t="s">
        <v>19</v>
      </c>
      <c r="G17" s="5">
        <v>22500</v>
      </c>
      <c r="H17" s="6"/>
      <c r="I17" s="6" t="s">
        <v>20</v>
      </c>
    </row>
    <row r="18" spans="1:9" x14ac:dyDescent="0.2">
      <c r="A18" s="11"/>
      <c r="B18" s="11"/>
      <c r="C18" s="35"/>
      <c r="D18" s="35"/>
      <c r="E18" s="35"/>
      <c r="F18" s="5" t="s">
        <v>21</v>
      </c>
      <c r="G18" s="5">
        <v>21000</v>
      </c>
      <c r="H18" s="6"/>
      <c r="I18" s="6" t="s">
        <v>22</v>
      </c>
    </row>
    <row r="19" spans="1:9" x14ac:dyDescent="0.2">
      <c r="A19" s="11"/>
      <c r="B19" s="11"/>
      <c r="C19" s="35"/>
      <c r="D19" s="36"/>
      <c r="E19" s="35"/>
      <c r="F19" s="5" t="s">
        <v>23</v>
      </c>
      <c r="G19" s="5">
        <v>19500</v>
      </c>
      <c r="H19" s="6"/>
      <c r="I19" s="6" t="s">
        <v>24</v>
      </c>
    </row>
    <row r="20" spans="1:9" x14ac:dyDescent="0.2">
      <c r="A20" s="11"/>
      <c r="B20" s="11"/>
      <c r="C20" s="35"/>
      <c r="D20" s="34" t="s">
        <v>25</v>
      </c>
      <c r="E20" s="35"/>
      <c r="F20" s="5" t="s">
        <v>12</v>
      </c>
      <c r="G20" s="5">
        <v>28000</v>
      </c>
      <c r="H20" s="6"/>
      <c r="I20" s="6" t="s">
        <v>13</v>
      </c>
    </row>
    <row r="21" spans="1:9" x14ac:dyDescent="0.2">
      <c r="A21" s="11"/>
      <c r="B21" s="11"/>
      <c r="C21" s="35"/>
      <c r="D21" s="35"/>
      <c r="E21" s="35"/>
      <c r="F21" s="5" t="s">
        <v>14</v>
      </c>
      <c r="G21" s="5">
        <v>26000</v>
      </c>
      <c r="H21" s="6"/>
      <c r="I21" s="6" t="s">
        <v>15</v>
      </c>
    </row>
    <row r="22" spans="1:9" x14ac:dyDescent="0.2">
      <c r="A22" s="11"/>
      <c r="B22" s="11"/>
      <c r="C22" s="35"/>
      <c r="D22" s="36"/>
      <c r="E22" s="35"/>
      <c r="F22" s="5" t="s">
        <v>16</v>
      </c>
      <c r="G22" s="5">
        <v>24000</v>
      </c>
      <c r="H22" s="6"/>
      <c r="I22" s="6" t="s">
        <v>17</v>
      </c>
    </row>
    <row r="23" spans="1:9" x14ac:dyDescent="0.2">
      <c r="A23" s="11"/>
      <c r="B23" s="11"/>
      <c r="C23" s="35"/>
      <c r="D23" s="34" t="s">
        <v>18</v>
      </c>
      <c r="E23" s="35"/>
      <c r="F23" s="5" t="s">
        <v>19</v>
      </c>
      <c r="G23" s="5">
        <v>22500</v>
      </c>
      <c r="H23" s="6"/>
      <c r="I23" s="6" t="s">
        <v>20</v>
      </c>
    </row>
    <row r="24" spans="1:9" x14ac:dyDescent="0.2">
      <c r="A24" s="11"/>
      <c r="B24" s="11"/>
      <c r="C24" s="35"/>
      <c r="D24" s="35"/>
      <c r="E24" s="35"/>
      <c r="F24" s="5" t="s">
        <v>21</v>
      </c>
      <c r="G24" s="5">
        <v>21000</v>
      </c>
      <c r="H24" s="6"/>
      <c r="I24" s="6" t="s">
        <v>22</v>
      </c>
    </row>
    <row r="25" spans="1:9" x14ac:dyDescent="0.2">
      <c r="A25" s="11"/>
      <c r="B25" s="11"/>
      <c r="C25" s="36"/>
      <c r="D25" s="36"/>
      <c r="E25" s="36"/>
      <c r="F25" s="5" t="s">
        <v>23</v>
      </c>
      <c r="G25" s="5">
        <v>19500</v>
      </c>
      <c r="H25" s="6"/>
      <c r="I25" s="6" t="s">
        <v>24</v>
      </c>
    </row>
    <row r="26" spans="1:9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7">
        <v>32000</v>
      </c>
      <c r="H26" s="8"/>
      <c r="I26" s="8" t="s">
        <v>13</v>
      </c>
    </row>
    <row r="27" spans="1:9" x14ac:dyDescent="0.2">
      <c r="A27" s="7"/>
      <c r="B27" s="7"/>
      <c r="C27" s="39"/>
      <c r="D27" s="39"/>
      <c r="E27" s="39"/>
      <c r="F27" s="7" t="s">
        <v>14</v>
      </c>
      <c r="G27" s="7">
        <v>28000</v>
      </c>
      <c r="H27" s="8"/>
      <c r="I27" s="8" t="s">
        <v>15</v>
      </c>
    </row>
    <row r="28" spans="1:9" x14ac:dyDescent="0.2">
      <c r="A28" s="7"/>
      <c r="B28" s="7"/>
      <c r="C28" s="39"/>
      <c r="D28" s="40"/>
      <c r="E28" s="39"/>
      <c r="F28" s="7" t="s">
        <v>16</v>
      </c>
      <c r="G28" s="7">
        <v>26500</v>
      </c>
      <c r="H28" s="8"/>
      <c r="I28" s="8" t="s">
        <v>17</v>
      </c>
    </row>
    <row r="29" spans="1:9" x14ac:dyDescent="0.2">
      <c r="A29" s="7"/>
      <c r="B29" s="7"/>
      <c r="C29" s="39"/>
      <c r="D29" s="38" t="s">
        <v>18</v>
      </c>
      <c r="E29" s="39"/>
      <c r="F29" s="7" t="s">
        <v>19</v>
      </c>
      <c r="G29" s="7">
        <v>25000</v>
      </c>
      <c r="H29" s="8"/>
      <c r="I29" s="8" t="s">
        <v>20</v>
      </c>
    </row>
    <row r="30" spans="1:9" x14ac:dyDescent="0.2">
      <c r="A30" s="7"/>
      <c r="B30" s="7"/>
      <c r="C30" s="39"/>
      <c r="D30" s="39"/>
      <c r="E30" s="39"/>
      <c r="F30" s="7" t="s">
        <v>21</v>
      </c>
      <c r="G30" s="7">
        <v>23000</v>
      </c>
      <c r="H30" s="8"/>
      <c r="I30" s="8" t="s">
        <v>22</v>
      </c>
    </row>
    <row r="31" spans="1:9" x14ac:dyDescent="0.2">
      <c r="A31" s="7"/>
      <c r="B31" s="7"/>
      <c r="C31" s="39"/>
      <c r="D31" s="40"/>
      <c r="E31" s="39"/>
      <c r="F31" s="7" t="s">
        <v>23</v>
      </c>
      <c r="G31" s="7">
        <v>21500</v>
      </c>
      <c r="H31" s="8"/>
      <c r="I31" s="8" t="s">
        <v>24</v>
      </c>
    </row>
    <row r="32" spans="1:9" x14ac:dyDescent="0.2">
      <c r="A32" s="7"/>
      <c r="B32" s="7"/>
      <c r="C32" s="39"/>
      <c r="D32" s="38" t="s">
        <v>26</v>
      </c>
      <c r="E32" s="39"/>
      <c r="F32" s="7" t="s">
        <v>12</v>
      </c>
      <c r="G32" s="7">
        <v>32000</v>
      </c>
      <c r="H32" s="8"/>
      <c r="I32" s="8" t="s">
        <v>13</v>
      </c>
    </row>
    <row r="33" spans="1:9" x14ac:dyDescent="0.2">
      <c r="A33" s="7"/>
      <c r="B33" s="7"/>
      <c r="C33" s="39"/>
      <c r="D33" s="39"/>
      <c r="E33" s="39"/>
      <c r="F33" s="7" t="s">
        <v>14</v>
      </c>
      <c r="G33" s="7">
        <v>28000</v>
      </c>
      <c r="H33" s="8"/>
      <c r="I33" s="8" t="s">
        <v>15</v>
      </c>
    </row>
    <row r="34" spans="1:9" x14ac:dyDescent="0.2">
      <c r="A34" s="7"/>
      <c r="B34" s="7"/>
      <c r="C34" s="39"/>
      <c r="D34" s="40"/>
      <c r="E34" s="39"/>
      <c r="F34" s="7" t="s">
        <v>16</v>
      </c>
      <c r="G34" s="7">
        <v>26500</v>
      </c>
      <c r="H34" s="8"/>
      <c r="I34" s="8" t="s">
        <v>17</v>
      </c>
    </row>
    <row r="35" spans="1:9" x14ac:dyDescent="0.2">
      <c r="A35" s="7"/>
      <c r="B35" s="7"/>
      <c r="C35" s="39"/>
      <c r="D35" s="38" t="s">
        <v>18</v>
      </c>
      <c r="E35" s="39"/>
      <c r="F35" s="7" t="s">
        <v>19</v>
      </c>
      <c r="G35" s="7">
        <v>25000</v>
      </c>
      <c r="H35" s="8"/>
      <c r="I35" s="8" t="s">
        <v>20</v>
      </c>
    </row>
    <row r="36" spans="1:9" x14ac:dyDescent="0.2">
      <c r="A36" s="7"/>
      <c r="B36" s="7"/>
      <c r="C36" s="39"/>
      <c r="D36" s="39"/>
      <c r="E36" s="39"/>
      <c r="F36" s="7" t="s">
        <v>21</v>
      </c>
      <c r="G36" s="7">
        <v>23000</v>
      </c>
      <c r="H36" s="8"/>
      <c r="I36" s="8" t="s">
        <v>22</v>
      </c>
    </row>
    <row r="37" spans="1:9" x14ac:dyDescent="0.2">
      <c r="A37" s="7"/>
      <c r="B37" s="7"/>
      <c r="C37" s="40"/>
      <c r="D37" s="40"/>
      <c r="E37" s="40"/>
      <c r="F37" s="7" t="s">
        <v>23</v>
      </c>
      <c r="G37" s="7">
        <v>21500</v>
      </c>
      <c r="H37" s="8"/>
      <c r="I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tabSelected="1" workbookViewId="0">
      <selection activeCell="K18" sqref="K18"/>
    </sheetView>
  </sheetViews>
  <sheetFormatPr baseColWidth="10" defaultRowHeight="16" x14ac:dyDescent="0.2"/>
  <cols>
    <col min="1" max="1" width="19.6640625" customWidth="1"/>
    <col min="4" max="4" width="13.83203125" bestFit="1" customWidth="1"/>
    <col min="8" max="8" width="15.83203125" bestFit="1" customWidth="1"/>
  </cols>
  <sheetData>
    <row r="1" spans="1:8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s="9" t="s">
        <v>6</v>
      </c>
      <c r="H1" s="1" t="s">
        <v>89</v>
      </c>
    </row>
    <row r="2" spans="1:8" x14ac:dyDescent="0.2">
      <c r="A2" t="s">
        <v>48</v>
      </c>
      <c r="B2" t="s">
        <v>78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22000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14999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12500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10999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10000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9000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22000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14999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12500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10999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10000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9000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v>25000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18000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16900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14500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14000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13500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v>25000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18000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16900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14500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14000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13500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30000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24500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22500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20500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19000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18000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30000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24500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22500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20500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19000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18000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4" max="4" width="13.83203125" bestFit="1" customWidth="1"/>
  </cols>
  <sheetData>
    <row r="1" spans="1:8" x14ac:dyDescent="0.2">
      <c r="A1" s="11" t="s">
        <v>0</v>
      </c>
      <c r="B1" s="11" t="s">
        <v>1</v>
      </c>
      <c r="C1" s="16" t="s">
        <v>2</v>
      </c>
      <c r="D1" s="16" t="s">
        <v>3</v>
      </c>
      <c r="E1" s="16" t="s">
        <v>66</v>
      </c>
      <c r="F1" s="11" t="s">
        <v>4</v>
      </c>
      <c r="G1" s="15" t="s">
        <v>6</v>
      </c>
      <c r="H1" s="1" t="s">
        <v>89</v>
      </c>
    </row>
    <row r="2" spans="1:8" x14ac:dyDescent="0.2">
      <c r="A2" s="11" t="s">
        <v>50</v>
      </c>
      <c r="B2" s="11" t="s">
        <v>78</v>
      </c>
      <c r="C2" s="26" t="s">
        <v>10</v>
      </c>
      <c r="D2" s="30" t="s">
        <v>11</v>
      </c>
      <c r="E2" s="26" t="s">
        <v>10</v>
      </c>
      <c r="F2" s="13" t="s">
        <v>12</v>
      </c>
      <c r="G2" s="14">
        <v>24000</v>
      </c>
      <c r="H2" s="4" t="s">
        <v>13</v>
      </c>
    </row>
    <row r="3" spans="1:8" x14ac:dyDescent="0.2">
      <c r="A3" s="11"/>
      <c r="B3" s="11"/>
      <c r="C3" s="27"/>
      <c r="D3" s="31"/>
      <c r="E3" s="27"/>
      <c r="F3" s="13" t="s">
        <v>14</v>
      </c>
      <c r="G3" s="14">
        <v>18000</v>
      </c>
      <c r="H3" s="4" t="s">
        <v>15</v>
      </c>
    </row>
    <row r="4" spans="1:8" x14ac:dyDescent="0.2">
      <c r="A4" s="11"/>
      <c r="B4" s="11"/>
      <c r="C4" s="27"/>
      <c r="D4" s="32"/>
      <c r="E4" s="27"/>
      <c r="F4" s="13" t="s">
        <v>16</v>
      </c>
      <c r="G4" s="14">
        <v>15000</v>
      </c>
      <c r="H4" s="4" t="s">
        <v>17</v>
      </c>
    </row>
    <row r="5" spans="1:8" x14ac:dyDescent="0.2">
      <c r="A5" s="11"/>
      <c r="B5" s="11"/>
      <c r="C5" s="27"/>
      <c r="D5" s="26" t="s">
        <v>18</v>
      </c>
      <c r="E5" s="27"/>
      <c r="F5" s="13" t="s">
        <v>19</v>
      </c>
      <c r="G5" s="14">
        <v>13000</v>
      </c>
      <c r="H5" s="4" t="s">
        <v>20</v>
      </c>
    </row>
    <row r="6" spans="1:8" x14ac:dyDescent="0.2">
      <c r="A6" s="11"/>
      <c r="B6" s="11"/>
      <c r="C6" s="27"/>
      <c r="D6" s="27"/>
      <c r="E6" s="27"/>
      <c r="F6" s="13" t="s">
        <v>21</v>
      </c>
      <c r="G6" s="14">
        <v>12000</v>
      </c>
      <c r="H6" s="4" t="s">
        <v>22</v>
      </c>
    </row>
    <row r="7" spans="1:8" x14ac:dyDescent="0.2">
      <c r="A7" s="11"/>
      <c r="B7" s="11"/>
      <c r="C7" s="27"/>
      <c r="D7" s="28"/>
      <c r="E7" s="27"/>
      <c r="F7" s="13" t="s">
        <v>23</v>
      </c>
      <c r="G7" s="14">
        <v>11000</v>
      </c>
      <c r="H7" s="4" t="s">
        <v>24</v>
      </c>
    </row>
    <row r="8" spans="1:8" x14ac:dyDescent="0.2">
      <c r="A8" s="11"/>
      <c r="B8" s="11"/>
      <c r="C8" s="27"/>
      <c r="D8" s="30" t="s">
        <v>11</v>
      </c>
      <c r="E8" s="27"/>
      <c r="F8" s="13" t="s">
        <v>12</v>
      </c>
      <c r="G8" s="14">
        <v>24000</v>
      </c>
      <c r="H8" s="4" t="s">
        <v>13</v>
      </c>
    </row>
    <row r="9" spans="1:8" x14ac:dyDescent="0.2">
      <c r="A9" s="11"/>
      <c r="B9" s="11"/>
      <c r="C9" s="27"/>
      <c r="D9" s="31"/>
      <c r="E9" s="27"/>
      <c r="F9" s="13" t="s">
        <v>14</v>
      </c>
      <c r="G9" s="14">
        <v>18000</v>
      </c>
      <c r="H9" s="4" t="s">
        <v>15</v>
      </c>
    </row>
    <row r="10" spans="1:8" x14ac:dyDescent="0.2">
      <c r="A10" s="11"/>
      <c r="B10" s="11"/>
      <c r="C10" s="27"/>
      <c r="D10" s="32"/>
      <c r="E10" s="27"/>
      <c r="F10" s="13" t="s">
        <v>16</v>
      </c>
      <c r="G10" s="14">
        <v>15000</v>
      </c>
      <c r="H10" s="4" t="s">
        <v>17</v>
      </c>
    </row>
    <row r="11" spans="1:8" x14ac:dyDescent="0.2">
      <c r="A11" s="11"/>
      <c r="B11" s="11"/>
      <c r="C11" s="27"/>
      <c r="D11" s="26" t="s">
        <v>18</v>
      </c>
      <c r="E11" s="27"/>
      <c r="F11" s="13" t="s">
        <v>19</v>
      </c>
      <c r="G11" s="14">
        <v>13000</v>
      </c>
      <c r="H11" s="4" t="s">
        <v>20</v>
      </c>
    </row>
    <row r="12" spans="1:8" x14ac:dyDescent="0.2">
      <c r="A12" s="11"/>
      <c r="B12" s="11"/>
      <c r="C12" s="27"/>
      <c r="D12" s="27"/>
      <c r="E12" s="27"/>
      <c r="F12" s="13" t="s">
        <v>21</v>
      </c>
      <c r="G12" s="14">
        <v>12000</v>
      </c>
      <c r="H12" s="4" t="s">
        <v>22</v>
      </c>
    </row>
    <row r="13" spans="1:8" x14ac:dyDescent="0.2">
      <c r="A13" s="11"/>
      <c r="B13" s="11"/>
      <c r="C13" s="28"/>
      <c r="D13" s="28"/>
      <c r="E13" s="28"/>
      <c r="F13" s="13" t="s">
        <v>23</v>
      </c>
      <c r="G13" s="14">
        <v>11000</v>
      </c>
      <c r="H13" s="4" t="s">
        <v>24</v>
      </c>
    </row>
    <row r="14" spans="1:8" x14ac:dyDescent="0.2">
      <c r="A14" s="11"/>
      <c r="B14" s="11"/>
      <c r="C14" s="34" t="s">
        <v>87</v>
      </c>
      <c r="D14" s="34" t="s">
        <v>25</v>
      </c>
      <c r="E14" s="34" t="s">
        <v>87</v>
      </c>
      <c r="F14" s="5" t="s">
        <v>12</v>
      </c>
      <c r="G14" s="6">
        <v>28000</v>
      </c>
      <c r="H14" s="6" t="s">
        <v>13</v>
      </c>
    </row>
    <row r="15" spans="1:8" x14ac:dyDescent="0.2">
      <c r="A15" s="11"/>
      <c r="B15" s="11"/>
      <c r="C15" s="35"/>
      <c r="D15" s="35"/>
      <c r="E15" s="35"/>
      <c r="F15" s="5" t="s">
        <v>14</v>
      </c>
      <c r="G15" s="6">
        <v>24000</v>
      </c>
      <c r="H15" s="6" t="s">
        <v>15</v>
      </c>
    </row>
    <row r="16" spans="1:8" x14ac:dyDescent="0.2">
      <c r="A16" s="11"/>
      <c r="B16" s="11"/>
      <c r="C16" s="35"/>
      <c r="D16" s="36"/>
      <c r="E16" s="35"/>
      <c r="F16" s="5" t="s">
        <v>16</v>
      </c>
      <c r="G16" s="6">
        <v>21000</v>
      </c>
      <c r="H16" s="6" t="s">
        <v>17</v>
      </c>
    </row>
    <row r="17" spans="1:8" x14ac:dyDescent="0.2">
      <c r="A17" s="11"/>
      <c r="B17" s="11"/>
      <c r="C17" s="35"/>
      <c r="D17" s="34" t="s">
        <v>18</v>
      </c>
      <c r="E17" s="35"/>
      <c r="F17" s="5" t="s">
        <v>19</v>
      </c>
      <c r="G17" s="6">
        <v>19999</v>
      </c>
      <c r="H17" s="6" t="s">
        <v>20</v>
      </c>
    </row>
    <row r="18" spans="1:8" x14ac:dyDescent="0.2">
      <c r="A18" s="11"/>
      <c r="B18" s="11"/>
      <c r="C18" s="35"/>
      <c r="D18" s="35"/>
      <c r="E18" s="35"/>
      <c r="F18" s="5" t="s">
        <v>21</v>
      </c>
      <c r="G18" s="6">
        <v>18000</v>
      </c>
      <c r="H18" s="6" t="s">
        <v>22</v>
      </c>
    </row>
    <row r="19" spans="1:8" x14ac:dyDescent="0.2">
      <c r="A19" s="11"/>
      <c r="B19" s="11"/>
      <c r="C19" s="35"/>
      <c r="D19" s="36"/>
      <c r="E19" s="35"/>
      <c r="F19" s="5" t="s">
        <v>23</v>
      </c>
      <c r="G19" s="6">
        <v>17000</v>
      </c>
      <c r="H19" s="6" t="s">
        <v>24</v>
      </c>
    </row>
    <row r="20" spans="1:8" x14ac:dyDescent="0.2">
      <c r="A20" s="11"/>
      <c r="B20" s="11"/>
      <c r="C20" s="35"/>
      <c r="D20" s="34" t="s">
        <v>25</v>
      </c>
      <c r="E20" s="35"/>
      <c r="F20" s="5" t="s">
        <v>12</v>
      </c>
      <c r="G20" s="6">
        <v>28000</v>
      </c>
      <c r="H20" s="6" t="s">
        <v>13</v>
      </c>
    </row>
    <row r="21" spans="1:8" x14ac:dyDescent="0.2">
      <c r="A21" s="11"/>
      <c r="B21" s="11"/>
      <c r="C21" s="35"/>
      <c r="D21" s="35"/>
      <c r="E21" s="35"/>
      <c r="F21" s="5" t="s">
        <v>14</v>
      </c>
      <c r="G21" s="6">
        <v>24000</v>
      </c>
      <c r="H21" s="6" t="s">
        <v>15</v>
      </c>
    </row>
    <row r="22" spans="1:8" x14ac:dyDescent="0.2">
      <c r="A22" s="11"/>
      <c r="B22" s="11"/>
      <c r="C22" s="35"/>
      <c r="D22" s="36"/>
      <c r="E22" s="35"/>
      <c r="F22" s="5" t="s">
        <v>16</v>
      </c>
      <c r="G22" s="6">
        <v>21000</v>
      </c>
      <c r="H22" s="6" t="s">
        <v>17</v>
      </c>
    </row>
    <row r="23" spans="1:8" x14ac:dyDescent="0.2">
      <c r="A23" s="11"/>
      <c r="B23" s="11"/>
      <c r="C23" s="35"/>
      <c r="D23" s="34" t="s">
        <v>18</v>
      </c>
      <c r="E23" s="35"/>
      <c r="F23" s="5" t="s">
        <v>19</v>
      </c>
      <c r="G23" s="6">
        <v>19999</v>
      </c>
      <c r="H23" s="6" t="s">
        <v>20</v>
      </c>
    </row>
    <row r="24" spans="1:8" x14ac:dyDescent="0.2">
      <c r="A24" s="11"/>
      <c r="B24" s="11"/>
      <c r="C24" s="35"/>
      <c r="D24" s="35"/>
      <c r="E24" s="35"/>
      <c r="F24" s="5" t="s">
        <v>21</v>
      </c>
      <c r="G24" s="6">
        <v>18000</v>
      </c>
      <c r="H24" s="6" t="s">
        <v>22</v>
      </c>
    </row>
    <row r="25" spans="1:8" x14ac:dyDescent="0.2">
      <c r="A25" s="11"/>
      <c r="B25" s="11"/>
      <c r="C25" s="36"/>
      <c r="D25" s="36"/>
      <c r="E25" s="36"/>
      <c r="F25" s="5" t="s">
        <v>23</v>
      </c>
      <c r="G25" s="6">
        <v>17000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32000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28000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25000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24000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22500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19999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32000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28000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25000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24000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22500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19999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1" max="1" width="28.6640625" bestFit="1" customWidth="1"/>
    <col min="4" max="4" width="13.83203125" bestFit="1" customWidth="1"/>
    <col min="7" max="7" width="11.1640625" customWidth="1"/>
  </cols>
  <sheetData>
    <row r="1" spans="1:8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s="9" t="s">
        <v>6</v>
      </c>
      <c r="H1" s="1" t="s">
        <v>89</v>
      </c>
    </row>
    <row r="2" spans="1:8" x14ac:dyDescent="0.2">
      <c r="A2" t="s">
        <v>51</v>
      </c>
      <c r="B2" t="s">
        <v>78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22000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16000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13000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11000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10000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9000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22000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16000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13000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11000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10000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9000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v>25000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22000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19999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17500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15000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13800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v>25000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22000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19999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17500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15000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13800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30000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24500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22500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20500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19000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18000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30000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24500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22500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20500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19000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18000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1" max="1" width="28.6640625" bestFit="1" customWidth="1"/>
    <col min="4" max="4" width="13.83203125" bestFit="1" customWidth="1"/>
    <col min="6" max="6" width="11.5" customWidth="1"/>
    <col min="7" max="7" width="11.1640625" customWidth="1"/>
  </cols>
  <sheetData>
    <row r="1" spans="1:8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s="9" t="s">
        <v>6</v>
      </c>
      <c r="H1" s="1" t="s">
        <v>89</v>
      </c>
    </row>
    <row r="2" spans="1:8" x14ac:dyDescent="0.2">
      <c r="A2" t="s">
        <v>55</v>
      </c>
      <c r="B2" t="s">
        <v>79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v>27000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v>19999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15000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13000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12500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12000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v>27000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v>19999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15000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13000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12500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12000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v>33250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23750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21200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19500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18500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17800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v>33250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23750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21200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19500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18500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17800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36750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27000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24500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23000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21500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21100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36750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27000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24500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23000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21500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21100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1" max="1" width="28.6640625" bestFit="1" customWidth="1"/>
    <col min="4" max="4" width="13.83203125" bestFit="1" customWidth="1"/>
    <col min="7" max="7" width="52.1640625" bestFit="1" customWidth="1"/>
  </cols>
  <sheetData>
    <row r="1" spans="1:8" x14ac:dyDescent="0.2">
      <c r="A1" t="s">
        <v>0</v>
      </c>
      <c r="B1" t="s">
        <v>1</v>
      </c>
      <c r="C1" s="16" t="s">
        <v>2</v>
      </c>
      <c r="D1" s="16" t="s">
        <v>3</v>
      </c>
      <c r="E1" s="16" t="s">
        <v>66</v>
      </c>
      <c r="F1" t="s">
        <v>4</v>
      </c>
      <c r="G1" s="9" t="s">
        <v>6</v>
      </c>
      <c r="H1" s="1" t="s">
        <v>89</v>
      </c>
    </row>
    <row r="2" spans="1:8" x14ac:dyDescent="0.2">
      <c r="A2" t="s">
        <v>80</v>
      </c>
      <c r="B2" t="s">
        <v>79</v>
      </c>
      <c r="C2" s="26" t="s">
        <v>10</v>
      </c>
      <c r="D2" s="30" t="s">
        <v>11</v>
      </c>
      <c r="E2" s="26" t="s">
        <v>10</v>
      </c>
      <c r="F2" s="3" t="s">
        <v>12</v>
      </c>
      <c r="G2" s="4">
        <f>32000</f>
        <v>32000</v>
      </c>
      <c r="H2" s="4" t="s">
        <v>13</v>
      </c>
    </row>
    <row r="3" spans="1:8" x14ac:dyDescent="0.2">
      <c r="C3" s="27"/>
      <c r="D3" s="31"/>
      <c r="E3" s="27"/>
      <c r="F3" s="3" t="s">
        <v>14</v>
      </c>
      <c r="G3" s="4">
        <f>25000</f>
        <v>25000</v>
      </c>
      <c r="H3" s="4" t="s">
        <v>15</v>
      </c>
    </row>
    <row r="4" spans="1:8" x14ac:dyDescent="0.2">
      <c r="C4" s="27"/>
      <c r="D4" s="32"/>
      <c r="E4" s="27"/>
      <c r="F4" s="3" t="s">
        <v>16</v>
      </c>
      <c r="G4" s="4">
        <v>24000</v>
      </c>
      <c r="H4" s="4" t="s">
        <v>17</v>
      </c>
    </row>
    <row r="5" spans="1:8" x14ac:dyDescent="0.2">
      <c r="C5" s="27"/>
      <c r="D5" s="26" t="s">
        <v>18</v>
      </c>
      <c r="E5" s="27"/>
      <c r="F5" s="3" t="s">
        <v>19</v>
      </c>
      <c r="G5" s="4">
        <v>23000</v>
      </c>
      <c r="H5" s="4" t="s">
        <v>20</v>
      </c>
    </row>
    <row r="6" spans="1:8" x14ac:dyDescent="0.2">
      <c r="C6" s="27"/>
      <c r="D6" s="27"/>
      <c r="E6" s="27"/>
      <c r="F6" s="3" t="s">
        <v>21</v>
      </c>
      <c r="G6" s="4">
        <v>22000</v>
      </c>
      <c r="H6" s="4" t="s">
        <v>22</v>
      </c>
    </row>
    <row r="7" spans="1:8" x14ac:dyDescent="0.2">
      <c r="C7" s="27"/>
      <c r="D7" s="28"/>
      <c r="E7" s="27"/>
      <c r="F7" s="3" t="s">
        <v>23</v>
      </c>
      <c r="G7" s="4">
        <v>21500</v>
      </c>
      <c r="H7" s="4" t="s">
        <v>24</v>
      </c>
    </row>
    <row r="8" spans="1:8" x14ac:dyDescent="0.2">
      <c r="C8" s="27"/>
      <c r="D8" s="30" t="s">
        <v>11</v>
      </c>
      <c r="E8" s="27"/>
      <c r="F8" s="3" t="s">
        <v>12</v>
      </c>
      <c r="G8" s="4">
        <f>32000</f>
        <v>32000</v>
      </c>
      <c r="H8" s="4" t="s">
        <v>13</v>
      </c>
    </row>
    <row r="9" spans="1:8" x14ac:dyDescent="0.2">
      <c r="C9" s="27"/>
      <c r="D9" s="31"/>
      <c r="E9" s="27"/>
      <c r="F9" s="3" t="s">
        <v>14</v>
      </c>
      <c r="G9" s="4">
        <f>25000</f>
        <v>25000</v>
      </c>
      <c r="H9" s="4" t="s">
        <v>15</v>
      </c>
    </row>
    <row r="10" spans="1:8" x14ac:dyDescent="0.2">
      <c r="C10" s="27"/>
      <c r="D10" s="32"/>
      <c r="E10" s="27"/>
      <c r="F10" s="3" t="s">
        <v>16</v>
      </c>
      <c r="G10" s="4">
        <v>24000</v>
      </c>
      <c r="H10" s="4" t="s">
        <v>17</v>
      </c>
    </row>
    <row r="11" spans="1:8" x14ac:dyDescent="0.2">
      <c r="C11" s="27"/>
      <c r="D11" s="26" t="s">
        <v>18</v>
      </c>
      <c r="E11" s="27"/>
      <c r="F11" s="3" t="s">
        <v>19</v>
      </c>
      <c r="G11" s="4">
        <v>23000</v>
      </c>
      <c r="H11" s="4" t="s">
        <v>20</v>
      </c>
    </row>
    <row r="12" spans="1:8" x14ac:dyDescent="0.2">
      <c r="C12" s="27"/>
      <c r="D12" s="27"/>
      <c r="E12" s="27"/>
      <c r="F12" s="3" t="s">
        <v>21</v>
      </c>
      <c r="G12" s="4">
        <v>22000</v>
      </c>
      <c r="H12" s="4" t="s">
        <v>22</v>
      </c>
    </row>
    <row r="13" spans="1:8" x14ac:dyDescent="0.2">
      <c r="C13" s="28"/>
      <c r="D13" s="28"/>
      <c r="E13" s="28"/>
      <c r="F13" s="3" t="s">
        <v>23</v>
      </c>
      <c r="G13" s="4">
        <v>21500</v>
      </c>
      <c r="H13" s="4" t="s">
        <v>24</v>
      </c>
    </row>
    <row r="14" spans="1:8" x14ac:dyDescent="0.2">
      <c r="C14" s="34" t="s">
        <v>87</v>
      </c>
      <c r="D14" s="34" t="s">
        <v>25</v>
      </c>
      <c r="E14" s="34" t="s">
        <v>87</v>
      </c>
      <c r="F14" s="5" t="s">
        <v>12</v>
      </c>
      <c r="G14" s="6">
        <f>34500</f>
        <v>34500</v>
      </c>
      <c r="H14" s="6" t="s">
        <v>13</v>
      </c>
    </row>
    <row r="15" spans="1:8" x14ac:dyDescent="0.2">
      <c r="C15" s="35"/>
      <c r="D15" s="35"/>
      <c r="E15" s="35"/>
      <c r="F15" s="5" t="s">
        <v>14</v>
      </c>
      <c r="G15" s="6">
        <v>27500</v>
      </c>
      <c r="H15" s="6" t="s">
        <v>15</v>
      </c>
    </row>
    <row r="16" spans="1:8" x14ac:dyDescent="0.2">
      <c r="C16" s="35"/>
      <c r="D16" s="36"/>
      <c r="E16" s="35"/>
      <c r="F16" s="5" t="s">
        <v>16</v>
      </c>
      <c r="G16" s="6">
        <v>25000</v>
      </c>
      <c r="H16" s="6" t="s">
        <v>17</v>
      </c>
    </row>
    <row r="17" spans="1:8" x14ac:dyDescent="0.2">
      <c r="C17" s="35"/>
      <c r="D17" s="34" t="s">
        <v>18</v>
      </c>
      <c r="E17" s="35"/>
      <c r="F17" s="5" t="s">
        <v>19</v>
      </c>
      <c r="G17" s="6">
        <v>24000</v>
      </c>
      <c r="H17" s="6" t="s">
        <v>20</v>
      </c>
    </row>
    <row r="18" spans="1:8" x14ac:dyDescent="0.2">
      <c r="C18" s="35"/>
      <c r="D18" s="35"/>
      <c r="E18" s="35"/>
      <c r="F18" s="5" t="s">
        <v>21</v>
      </c>
      <c r="G18" s="6">
        <v>23500</v>
      </c>
      <c r="H18" s="6" t="s">
        <v>22</v>
      </c>
    </row>
    <row r="19" spans="1:8" x14ac:dyDescent="0.2">
      <c r="C19" s="35"/>
      <c r="D19" s="36"/>
      <c r="E19" s="35"/>
      <c r="F19" s="5" t="s">
        <v>23</v>
      </c>
      <c r="G19" s="6">
        <v>23000</v>
      </c>
      <c r="H19" s="6" t="s">
        <v>24</v>
      </c>
    </row>
    <row r="20" spans="1:8" x14ac:dyDescent="0.2">
      <c r="C20" s="35"/>
      <c r="D20" s="34" t="s">
        <v>25</v>
      </c>
      <c r="E20" s="35"/>
      <c r="F20" s="5" t="s">
        <v>12</v>
      </c>
      <c r="G20" s="6">
        <f>34500</f>
        <v>34500</v>
      </c>
      <c r="H20" s="6" t="s">
        <v>13</v>
      </c>
    </row>
    <row r="21" spans="1:8" x14ac:dyDescent="0.2">
      <c r="C21" s="35"/>
      <c r="D21" s="35"/>
      <c r="E21" s="35"/>
      <c r="F21" s="5" t="s">
        <v>14</v>
      </c>
      <c r="G21" s="6">
        <v>27500</v>
      </c>
      <c r="H21" s="6" t="s">
        <v>15</v>
      </c>
    </row>
    <row r="22" spans="1:8" x14ac:dyDescent="0.2">
      <c r="C22" s="35"/>
      <c r="D22" s="36"/>
      <c r="E22" s="35"/>
      <c r="F22" s="5" t="s">
        <v>16</v>
      </c>
      <c r="G22" s="6">
        <v>25000</v>
      </c>
      <c r="H22" s="6" t="s">
        <v>17</v>
      </c>
    </row>
    <row r="23" spans="1:8" x14ac:dyDescent="0.2">
      <c r="C23" s="35"/>
      <c r="D23" s="34" t="s">
        <v>18</v>
      </c>
      <c r="E23" s="35"/>
      <c r="F23" s="5" t="s">
        <v>19</v>
      </c>
      <c r="G23" s="6">
        <v>24000</v>
      </c>
      <c r="H23" s="6" t="s">
        <v>20</v>
      </c>
    </row>
    <row r="24" spans="1:8" x14ac:dyDescent="0.2">
      <c r="C24" s="35"/>
      <c r="D24" s="35"/>
      <c r="E24" s="35"/>
      <c r="F24" s="5" t="s">
        <v>21</v>
      </c>
      <c r="G24" s="6">
        <v>23500</v>
      </c>
      <c r="H24" s="6" t="s">
        <v>22</v>
      </c>
    </row>
    <row r="25" spans="1:8" x14ac:dyDescent="0.2">
      <c r="C25" s="36"/>
      <c r="D25" s="36"/>
      <c r="E25" s="36"/>
      <c r="F25" s="5" t="s">
        <v>23</v>
      </c>
      <c r="G25" s="6">
        <v>23000</v>
      </c>
      <c r="H25" s="6" t="s">
        <v>24</v>
      </c>
    </row>
    <row r="26" spans="1:8" x14ac:dyDescent="0.2">
      <c r="A26" s="7"/>
      <c r="B26" s="7"/>
      <c r="C26" s="38" t="s">
        <v>69</v>
      </c>
      <c r="D26" s="38" t="s">
        <v>26</v>
      </c>
      <c r="E26" s="38" t="s">
        <v>69</v>
      </c>
      <c r="F26" s="7" t="s">
        <v>12</v>
      </c>
      <c r="G26" s="8">
        <v>38000</v>
      </c>
      <c r="H26" s="8" t="s">
        <v>13</v>
      </c>
    </row>
    <row r="27" spans="1:8" x14ac:dyDescent="0.2">
      <c r="A27" s="7"/>
      <c r="B27" s="7"/>
      <c r="C27" s="39"/>
      <c r="D27" s="39"/>
      <c r="E27" s="39"/>
      <c r="F27" s="7" t="s">
        <v>14</v>
      </c>
      <c r="G27" s="8">
        <v>32000</v>
      </c>
      <c r="H27" s="8" t="s">
        <v>15</v>
      </c>
    </row>
    <row r="28" spans="1:8" x14ac:dyDescent="0.2">
      <c r="A28" s="7"/>
      <c r="B28" s="7"/>
      <c r="C28" s="39"/>
      <c r="D28" s="40"/>
      <c r="E28" s="39"/>
      <c r="F28" s="7" t="s">
        <v>16</v>
      </c>
      <c r="G28" s="8">
        <v>29500</v>
      </c>
      <c r="H28" s="8" t="s">
        <v>17</v>
      </c>
    </row>
    <row r="29" spans="1:8" x14ac:dyDescent="0.2">
      <c r="A29" s="7"/>
      <c r="B29" s="7"/>
      <c r="C29" s="39"/>
      <c r="D29" s="38" t="s">
        <v>18</v>
      </c>
      <c r="E29" s="39"/>
      <c r="F29" s="7" t="s">
        <v>19</v>
      </c>
      <c r="G29" s="8">
        <v>26000</v>
      </c>
      <c r="H29" s="8" t="s">
        <v>20</v>
      </c>
    </row>
    <row r="30" spans="1:8" x14ac:dyDescent="0.2">
      <c r="A30" s="7"/>
      <c r="B30" s="7"/>
      <c r="C30" s="39"/>
      <c r="D30" s="39"/>
      <c r="E30" s="39"/>
      <c r="F30" s="7" t="s">
        <v>21</v>
      </c>
      <c r="G30" s="8">
        <v>25000</v>
      </c>
      <c r="H30" s="8" t="s">
        <v>22</v>
      </c>
    </row>
    <row r="31" spans="1:8" x14ac:dyDescent="0.2">
      <c r="A31" s="7"/>
      <c r="B31" s="7"/>
      <c r="C31" s="39"/>
      <c r="D31" s="40"/>
      <c r="E31" s="39"/>
      <c r="F31" s="7" t="s">
        <v>23</v>
      </c>
      <c r="G31" s="8">
        <v>24000</v>
      </c>
      <c r="H31" s="8" t="s">
        <v>24</v>
      </c>
    </row>
    <row r="32" spans="1:8" x14ac:dyDescent="0.2">
      <c r="A32" s="7"/>
      <c r="B32" s="7"/>
      <c r="C32" s="39"/>
      <c r="D32" s="38" t="s">
        <v>26</v>
      </c>
      <c r="E32" s="39"/>
      <c r="F32" s="7" t="s">
        <v>12</v>
      </c>
      <c r="G32" s="8">
        <v>38000</v>
      </c>
      <c r="H32" s="8" t="s">
        <v>13</v>
      </c>
    </row>
    <row r="33" spans="1:8" x14ac:dyDescent="0.2">
      <c r="A33" s="7"/>
      <c r="B33" s="7"/>
      <c r="C33" s="39"/>
      <c r="D33" s="39"/>
      <c r="E33" s="39"/>
      <c r="F33" s="7" t="s">
        <v>14</v>
      </c>
      <c r="G33" s="8">
        <v>32000</v>
      </c>
      <c r="H33" s="8" t="s">
        <v>15</v>
      </c>
    </row>
    <row r="34" spans="1:8" x14ac:dyDescent="0.2">
      <c r="A34" s="7"/>
      <c r="B34" s="7"/>
      <c r="C34" s="39"/>
      <c r="D34" s="40"/>
      <c r="E34" s="39"/>
      <c r="F34" s="7" t="s">
        <v>16</v>
      </c>
      <c r="G34" s="8">
        <v>29500</v>
      </c>
      <c r="H34" s="8" t="s">
        <v>17</v>
      </c>
    </row>
    <row r="35" spans="1:8" x14ac:dyDescent="0.2">
      <c r="A35" s="7"/>
      <c r="B35" s="7"/>
      <c r="C35" s="39"/>
      <c r="D35" s="38" t="s">
        <v>18</v>
      </c>
      <c r="E35" s="39"/>
      <c r="F35" s="7" t="s">
        <v>19</v>
      </c>
      <c r="G35" s="8">
        <v>26000</v>
      </c>
      <c r="H35" s="8" t="s">
        <v>20</v>
      </c>
    </row>
    <row r="36" spans="1:8" x14ac:dyDescent="0.2">
      <c r="A36" s="7"/>
      <c r="B36" s="7"/>
      <c r="C36" s="39"/>
      <c r="D36" s="39"/>
      <c r="E36" s="39"/>
      <c r="F36" s="7" t="s">
        <v>21</v>
      </c>
      <c r="G36" s="8">
        <v>25000</v>
      </c>
      <c r="H36" s="8" t="s">
        <v>22</v>
      </c>
    </row>
    <row r="37" spans="1:8" x14ac:dyDescent="0.2">
      <c r="A37" s="7"/>
      <c r="B37" s="7"/>
      <c r="C37" s="40"/>
      <c r="D37" s="40"/>
      <c r="E37" s="40"/>
      <c r="F37" s="7" t="s">
        <v>23</v>
      </c>
      <c r="G37" s="8">
        <v>24000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7"/>
  <sheetViews>
    <sheetView workbookViewId="0">
      <selection activeCell="H1" sqref="H1:H1048576"/>
    </sheetView>
  </sheetViews>
  <sheetFormatPr baseColWidth="10" defaultRowHeight="16" x14ac:dyDescent="0.2"/>
  <cols>
    <col min="4" max="4" width="13.83203125" bestFit="1" customWidth="1"/>
  </cols>
  <sheetData>
    <row r="1" spans="1:8" x14ac:dyDescent="0.2">
      <c r="A1" s="43" t="s">
        <v>0</v>
      </c>
      <c r="B1" s="43" t="s">
        <v>1</v>
      </c>
      <c r="C1" s="16" t="s">
        <v>2</v>
      </c>
      <c r="D1" s="16" t="s">
        <v>3</v>
      </c>
      <c r="E1" s="16" t="s">
        <v>66</v>
      </c>
      <c r="F1" s="43" t="s">
        <v>4</v>
      </c>
      <c r="G1" s="44" t="s">
        <v>6</v>
      </c>
      <c r="H1" s="1" t="s">
        <v>89</v>
      </c>
    </row>
    <row r="2" spans="1:8" x14ac:dyDescent="0.2">
      <c r="A2" s="43" t="s">
        <v>81</v>
      </c>
      <c r="B2" s="43" t="s">
        <v>79</v>
      </c>
      <c r="C2" s="25" t="s">
        <v>10</v>
      </c>
      <c r="D2" s="29" t="s">
        <v>11</v>
      </c>
      <c r="E2" s="25" t="s">
        <v>10</v>
      </c>
      <c r="F2" s="45" t="s">
        <v>12</v>
      </c>
      <c r="G2" s="46">
        <v>32000</v>
      </c>
      <c r="H2" s="4" t="s">
        <v>13</v>
      </c>
    </row>
    <row r="3" spans="1:8" x14ac:dyDescent="0.2">
      <c r="A3" s="43"/>
      <c r="B3" s="43"/>
      <c r="C3" s="25"/>
      <c r="D3" s="29"/>
      <c r="E3" s="25"/>
      <c r="F3" s="45" t="s">
        <v>14</v>
      </c>
      <c r="G3" s="46">
        <v>25000</v>
      </c>
      <c r="H3" s="4" t="s">
        <v>15</v>
      </c>
    </row>
    <row r="4" spans="1:8" x14ac:dyDescent="0.2">
      <c r="A4" s="43"/>
      <c r="B4" s="43"/>
      <c r="C4" s="25"/>
      <c r="D4" s="29"/>
      <c r="E4" s="25"/>
      <c r="F4" s="45" t="s">
        <v>16</v>
      </c>
      <c r="G4" s="46">
        <v>24000</v>
      </c>
      <c r="H4" s="4" t="s">
        <v>17</v>
      </c>
    </row>
    <row r="5" spans="1:8" x14ac:dyDescent="0.2">
      <c r="A5" s="43"/>
      <c r="B5" s="43"/>
      <c r="C5" s="25"/>
      <c r="D5" s="25" t="s">
        <v>18</v>
      </c>
      <c r="E5" s="25"/>
      <c r="F5" s="45" t="s">
        <v>19</v>
      </c>
      <c r="G5" s="46">
        <v>23000</v>
      </c>
      <c r="H5" s="4" t="s">
        <v>20</v>
      </c>
    </row>
    <row r="6" spans="1:8" x14ac:dyDescent="0.2">
      <c r="A6" s="43"/>
      <c r="B6" s="43"/>
      <c r="C6" s="25"/>
      <c r="D6" s="25"/>
      <c r="E6" s="25"/>
      <c r="F6" s="45" t="s">
        <v>21</v>
      </c>
      <c r="G6" s="46">
        <v>22000</v>
      </c>
      <c r="H6" s="4" t="s">
        <v>22</v>
      </c>
    </row>
    <row r="7" spans="1:8" x14ac:dyDescent="0.2">
      <c r="A7" s="43"/>
      <c r="B7" s="43"/>
      <c r="C7" s="25"/>
      <c r="D7" s="25"/>
      <c r="E7" s="25"/>
      <c r="F7" s="45" t="s">
        <v>23</v>
      </c>
      <c r="G7" s="46">
        <v>21500</v>
      </c>
      <c r="H7" s="4" t="s">
        <v>24</v>
      </c>
    </row>
    <row r="8" spans="1:8" x14ac:dyDescent="0.2">
      <c r="A8" s="43"/>
      <c r="B8" s="43"/>
      <c r="C8" s="25"/>
      <c r="D8" s="29" t="s">
        <v>11</v>
      </c>
      <c r="E8" s="25"/>
      <c r="F8" s="45" t="s">
        <v>12</v>
      </c>
      <c r="G8" s="46">
        <v>32000</v>
      </c>
      <c r="H8" s="4" t="s">
        <v>13</v>
      </c>
    </row>
    <row r="9" spans="1:8" x14ac:dyDescent="0.2">
      <c r="A9" s="43"/>
      <c r="B9" s="43"/>
      <c r="C9" s="25"/>
      <c r="D9" s="29"/>
      <c r="E9" s="25"/>
      <c r="F9" s="45" t="s">
        <v>14</v>
      </c>
      <c r="G9" s="46">
        <v>25000</v>
      </c>
      <c r="H9" s="4" t="s">
        <v>15</v>
      </c>
    </row>
    <row r="10" spans="1:8" x14ac:dyDescent="0.2">
      <c r="A10" s="43"/>
      <c r="B10" s="43"/>
      <c r="C10" s="25"/>
      <c r="D10" s="29"/>
      <c r="E10" s="25"/>
      <c r="F10" s="45" t="s">
        <v>16</v>
      </c>
      <c r="G10" s="46">
        <v>24000</v>
      </c>
      <c r="H10" s="4" t="s">
        <v>17</v>
      </c>
    </row>
    <row r="11" spans="1:8" x14ac:dyDescent="0.2">
      <c r="A11" s="43"/>
      <c r="B11" s="43"/>
      <c r="C11" s="25"/>
      <c r="D11" s="25" t="s">
        <v>18</v>
      </c>
      <c r="E11" s="25"/>
      <c r="F11" s="45" t="s">
        <v>19</v>
      </c>
      <c r="G11" s="46">
        <v>23000</v>
      </c>
      <c r="H11" s="4" t="s">
        <v>20</v>
      </c>
    </row>
    <row r="12" spans="1:8" x14ac:dyDescent="0.2">
      <c r="A12" s="43"/>
      <c r="B12" s="43"/>
      <c r="C12" s="25"/>
      <c r="D12" s="25"/>
      <c r="E12" s="25"/>
      <c r="F12" s="45" t="s">
        <v>21</v>
      </c>
      <c r="G12" s="46">
        <v>22000</v>
      </c>
      <c r="H12" s="4" t="s">
        <v>22</v>
      </c>
    </row>
    <row r="13" spans="1:8" x14ac:dyDescent="0.2">
      <c r="A13" s="43"/>
      <c r="B13" s="43"/>
      <c r="C13" s="25"/>
      <c r="D13" s="25"/>
      <c r="E13" s="25"/>
      <c r="F13" s="45" t="s">
        <v>23</v>
      </c>
      <c r="G13" s="46">
        <v>21500</v>
      </c>
      <c r="H13" s="4" t="s">
        <v>24</v>
      </c>
    </row>
    <row r="14" spans="1:8" x14ac:dyDescent="0.2">
      <c r="A14" s="43"/>
      <c r="B14" s="43"/>
      <c r="C14" s="33" t="s">
        <v>87</v>
      </c>
      <c r="D14" s="33" t="s">
        <v>25</v>
      </c>
      <c r="E14" s="33" t="s">
        <v>87</v>
      </c>
      <c r="F14" s="21" t="s">
        <v>12</v>
      </c>
      <c r="G14" s="22">
        <v>34500</v>
      </c>
      <c r="H14" s="6" t="s">
        <v>13</v>
      </c>
    </row>
    <row r="15" spans="1:8" x14ac:dyDescent="0.2">
      <c r="A15" s="43"/>
      <c r="B15" s="43"/>
      <c r="C15" s="33"/>
      <c r="D15" s="33"/>
      <c r="E15" s="33"/>
      <c r="F15" s="21" t="s">
        <v>14</v>
      </c>
      <c r="G15" s="22">
        <v>27500</v>
      </c>
      <c r="H15" s="6" t="s">
        <v>15</v>
      </c>
    </row>
    <row r="16" spans="1:8" x14ac:dyDescent="0.2">
      <c r="A16" s="43"/>
      <c r="B16" s="43"/>
      <c r="C16" s="33"/>
      <c r="D16" s="33"/>
      <c r="E16" s="33"/>
      <c r="F16" s="21" t="s">
        <v>16</v>
      </c>
      <c r="G16" s="22">
        <v>25000</v>
      </c>
      <c r="H16" s="6" t="s">
        <v>17</v>
      </c>
    </row>
    <row r="17" spans="1:8" x14ac:dyDescent="0.2">
      <c r="A17" s="43"/>
      <c r="B17" s="43"/>
      <c r="C17" s="33"/>
      <c r="D17" s="33" t="s">
        <v>18</v>
      </c>
      <c r="E17" s="33"/>
      <c r="F17" s="21" t="s">
        <v>19</v>
      </c>
      <c r="G17" s="22">
        <v>24000</v>
      </c>
      <c r="H17" s="6" t="s">
        <v>20</v>
      </c>
    </row>
    <row r="18" spans="1:8" x14ac:dyDescent="0.2">
      <c r="A18" s="43"/>
      <c r="B18" s="43"/>
      <c r="C18" s="33"/>
      <c r="D18" s="33"/>
      <c r="E18" s="33"/>
      <c r="F18" s="21" t="s">
        <v>21</v>
      </c>
      <c r="G18" s="22">
        <v>23500</v>
      </c>
      <c r="H18" s="6" t="s">
        <v>22</v>
      </c>
    </row>
    <row r="19" spans="1:8" x14ac:dyDescent="0.2">
      <c r="A19" s="43"/>
      <c r="B19" s="43"/>
      <c r="C19" s="33"/>
      <c r="D19" s="33"/>
      <c r="E19" s="33"/>
      <c r="F19" s="21" t="s">
        <v>23</v>
      </c>
      <c r="G19" s="22">
        <v>23000</v>
      </c>
      <c r="H19" s="6" t="s">
        <v>24</v>
      </c>
    </row>
    <row r="20" spans="1:8" x14ac:dyDescent="0.2">
      <c r="A20" s="43"/>
      <c r="B20" s="43"/>
      <c r="C20" s="33"/>
      <c r="D20" s="33" t="s">
        <v>25</v>
      </c>
      <c r="E20" s="33"/>
      <c r="F20" s="21" t="s">
        <v>12</v>
      </c>
      <c r="G20" s="22">
        <v>34500</v>
      </c>
      <c r="H20" s="6" t="s">
        <v>13</v>
      </c>
    </row>
    <row r="21" spans="1:8" x14ac:dyDescent="0.2">
      <c r="A21" s="43"/>
      <c r="B21" s="43"/>
      <c r="C21" s="33"/>
      <c r="D21" s="33"/>
      <c r="E21" s="33"/>
      <c r="F21" s="21" t="s">
        <v>14</v>
      </c>
      <c r="G21" s="22">
        <v>27500</v>
      </c>
      <c r="H21" s="6" t="s">
        <v>15</v>
      </c>
    </row>
    <row r="22" spans="1:8" x14ac:dyDescent="0.2">
      <c r="A22" s="43"/>
      <c r="B22" s="43"/>
      <c r="C22" s="33"/>
      <c r="D22" s="33"/>
      <c r="E22" s="33"/>
      <c r="F22" s="21" t="s">
        <v>16</v>
      </c>
      <c r="G22" s="22">
        <v>25000</v>
      </c>
      <c r="H22" s="6" t="s">
        <v>17</v>
      </c>
    </row>
    <row r="23" spans="1:8" x14ac:dyDescent="0.2">
      <c r="A23" s="43"/>
      <c r="B23" s="43"/>
      <c r="C23" s="33"/>
      <c r="D23" s="33" t="s">
        <v>18</v>
      </c>
      <c r="E23" s="33"/>
      <c r="F23" s="21" t="s">
        <v>19</v>
      </c>
      <c r="G23" s="22">
        <v>24000</v>
      </c>
      <c r="H23" s="6" t="s">
        <v>20</v>
      </c>
    </row>
    <row r="24" spans="1:8" x14ac:dyDescent="0.2">
      <c r="A24" s="43"/>
      <c r="B24" s="43"/>
      <c r="C24" s="33"/>
      <c r="D24" s="33"/>
      <c r="E24" s="33"/>
      <c r="F24" s="21" t="s">
        <v>21</v>
      </c>
      <c r="G24" s="22">
        <v>23500</v>
      </c>
      <c r="H24" s="6" t="s">
        <v>22</v>
      </c>
    </row>
    <row r="25" spans="1:8" x14ac:dyDescent="0.2">
      <c r="A25" s="43"/>
      <c r="B25" s="43"/>
      <c r="C25" s="33"/>
      <c r="D25" s="33"/>
      <c r="E25" s="33"/>
      <c r="F25" s="21" t="s">
        <v>23</v>
      </c>
      <c r="G25" s="22">
        <v>23000</v>
      </c>
      <c r="H25" s="6" t="s">
        <v>24</v>
      </c>
    </row>
    <row r="26" spans="1:8" x14ac:dyDescent="0.2">
      <c r="A26" s="23"/>
      <c r="B26" s="23"/>
      <c r="C26" s="37" t="s">
        <v>69</v>
      </c>
      <c r="D26" s="37" t="s">
        <v>26</v>
      </c>
      <c r="E26" s="37" t="s">
        <v>69</v>
      </c>
      <c r="F26" s="23" t="s">
        <v>12</v>
      </c>
      <c r="G26" s="24">
        <v>38000</v>
      </c>
      <c r="H26" s="8" t="s">
        <v>13</v>
      </c>
    </row>
    <row r="27" spans="1:8" x14ac:dyDescent="0.2">
      <c r="A27" s="23"/>
      <c r="B27" s="23"/>
      <c r="C27" s="37"/>
      <c r="D27" s="37"/>
      <c r="E27" s="37"/>
      <c r="F27" s="23" t="s">
        <v>14</v>
      </c>
      <c r="G27" s="24">
        <v>32000</v>
      </c>
      <c r="H27" s="8" t="s">
        <v>15</v>
      </c>
    </row>
    <row r="28" spans="1:8" x14ac:dyDescent="0.2">
      <c r="A28" s="23"/>
      <c r="B28" s="23"/>
      <c r="C28" s="37"/>
      <c r="D28" s="37"/>
      <c r="E28" s="37"/>
      <c r="F28" s="23" t="s">
        <v>16</v>
      </c>
      <c r="G28" s="24">
        <v>29500</v>
      </c>
      <c r="H28" s="8" t="s">
        <v>17</v>
      </c>
    </row>
    <row r="29" spans="1:8" x14ac:dyDescent="0.2">
      <c r="A29" s="23"/>
      <c r="B29" s="23"/>
      <c r="C29" s="37"/>
      <c r="D29" s="37" t="s">
        <v>18</v>
      </c>
      <c r="E29" s="37"/>
      <c r="F29" s="23" t="s">
        <v>19</v>
      </c>
      <c r="G29" s="24">
        <v>26000</v>
      </c>
      <c r="H29" s="8" t="s">
        <v>20</v>
      </c>
    </row>
    <row r="30" spans="1:8" x14ac:dyDescent="0.2">
      <c r="A30" s="23"/>
      <c r="B30" s="23"/>
      <c r="C30" s="37"/>
      <c r="D30" s="37"/>
      <c r="E30" s="37"/>
      <c r="F30" s="23" t="s">
        <v>21</v>
      </c>
      <c r="G30" s="24">
        <v>25000</v>
      </c>
      <c r="H30" s="8" t="s">
        <v>22</v>
      </c>
    </row>
    <row r="31" spans="1:8" x14ac:dyDescent="0.2">
      <c r="A31" s="23"/>
      <c r="B31" s="23"/>
      <c r="C31" s="37"/>
      <c r="D31" s="37"/>
      <c r="E31" s="37"/>
      <c r="F31" s="23" t="s">
        <v>23</v>
      </c>
      <c r="G31" s="24">
        <v>24000</v>
      </c>
      <c r="H31" s="8" t="s">
        <v>24</v>
      </c>
    </row>
    <row r="32" spans="1:8" x14ac:dyDescent="0.2">
      <c r="A32" s="23"/>
      <c r="B32" s="23"/>
      <c r="C32" s="37"/>
      <c r="D32" s="37" t="s">
        <v>26</v>
      </c>
      <c r="E32" s="37"/>
      <c r="F32" s="23" t="s">
        <v>12</v>
      </c>
      <c r="G32" s="24">
        <v>38000</v>
      </c>
      <c r="H32" s="8" t="s">
        <v>13</v>
      </c>
    </row>
    <row r="33" spans="1:8" x14ac:dyDescent="0.2">
      <c r="A33" s="23"/>
      <c r="B33" s="23"/>
      <c r="C33" s="37"/>
      <c r="D33" s="37"/>
      <c r="E33" s="37"/>
      <c r="F33" s="23" t="s">
        <v>14</v>
      </c>
      <c r="G33" s="24">
        <v>32000</v>
      </c>
      <c r="H33" s="8" t="s">
        <v>15</v>
      </c>
    </row>
    <row r="34" spans="1:8" x14ac:dyDescent="0.2">
      <c r="A34" s="23"/>
      <c r="B34" s="23"/>
      <c r="C34" s="37"/>
      <c r="D34" s="37"/>
      <c r="E34" s="37"/>
      <c r="F34" s="23" t="s">
        <v>16</v>
      </c>
      <c r="G34" s="24">
        <v>29500</v>
      </c>
      <c r="H34" s="8" t="s">
        <v>17</v>
      </c>
    </row>
    <row r="35" spans="1:8" x14ac:dyDescent="0.2">
      <c r="A35" s="23"/>
      <c r="B35" s="23"/>
      <c r="C35" s="37"/>
      <c r="D35" s="37" t="s">
        <v>18</v>
      </c>
      <c r="E35" s="37"/>
      <c r="F35" s="23" t="s">
        <v>19</v>
      </c>
      <c r="G35" s="24">
        <v>26000</v>
      </c>
      <c r="H35" s="8" t="s">
        <v>20</v>
      </c>
    </row>
    <row r="36" spans="1:8" x14ac:dyDescent="0.2">
      <c r="A36" s="23"/>
      <c r="B36" s="23"/>
      <c r="C36" s="37"/>
      <c r="D36" s="37"/>
      <c r="E36" s="37"/>
      <c r="F36" s="23" t="s">
        <v>21</v>
      </c>
      <c r="G36" s="24">
        <v>25000</v>
      </c>
      <c r="H36" s="8" t="s">
        <v>22</v>
      </c>
    </row>
    <row r="37" spans="1:8" x14ac:dyDescent="0.2">
      <c r="A37" s="23"/>
      <c r="B37" s="23"/>
      <c r="C37" s="37"/>
      <c r="D37" s="37"/>
      <c r="E37" s="37"/>
      <c r="F37" s="23" t="s">
        <v>23</v>
      </c>
      <c r="G37" s="24">
        <v>24000</v>
      </c>
      <c r="H37" s="8" t="s">
        <v>24</v>
      </c>
    </row>
  </sheetData>
  <mergeCells count="18">
    <mergeCell ref="C26:C37"/>
    <mergeCell ref="D26:D28"/>
    <mergeCell ref="E26:E37"/>
    <mergeCell ref="D29:D31"/>
    <mergeCell ref="D32:D34"/>
    <mergeCell ref="D35:D37"/>
    <mergeCell ref="C14:C25"/>
    <mergeCell ref="D14:D16"/>
    <mergeCell ref="E14:E25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>
      <selection activeCell="C1" sqref="C1:E1048576"/>
    </sheetView>
  </sheetViews>
  <sheetFormatPr baseColWidth="10" defaultRowHeight="16" x14ac:dyDescent="0.2"/>
  <cols>
    <col min="1" max="1" width="28.1640625" customWidth="1"/>
    <col min="4" max="4" width="13.83203125" bestFit="1" customWidth="1"/>
    <col min="8" max="8" width="32.33203125" bestFit="1" customWidth="1"/>
  </cols>
  <sheetData>
    <row r="1" spans="1:8" x14ac:dyDescent="0.2">
      <c r="A1" s="18" t="s">
        <v>0</v>
      </c>
      <c r="B1" s="18" t="s">
        <v>1</v>
      </c>
      <c r="C1" s="16" t="s">
        <v>2</v>
      </c>
      <c r="D1" s="16" t="s">
        <v>3</v>
      </c>
      <c r="E1" s="16" t="s">
        <v>66</v>
      </c>
      <c r="F1" s="18" t="s">
        <v>4</v>
      </c>
      <c r="G1" s="41" t="s">
        <v>6</v>
      </c>
      <c r="H1" s="18" t="s">
        <v>7</v>
      </c>
    </row>
    <row r="2" spans="1:8" ht="16" customHeight="1" x14ac:dyDescent="0.2">
      <c r="A2" s="18" t="s">
        <v>59</v>
      </c>
      <c r="B2" s="18" t="s">
        <v>79</v>
      </c>
      <c r="C2" s="25" t="s">
        <v>10</v>
      </c>
      <c r="D2" s="29" t="s">
        <v>11</v>
      </c>
      <c r="E2" s="25" t="s">
        <v>10</v>
      </c>
      <c r="F2" s="19" t="s">
        <v>12</v>
      </c>
      <c r="G2" s="20">
        <v>0</v>
      </c>
      <c r="H2" s="20" t="s">
        <v>13</v>
      </c>
    </row>
    <row r="3" spans="1:8" x14ac:dyDescent="0.2">
      <c r="A3" s="18"/>
      <c r="B3" s="18"/>
      <c r="C3" s="25"/>
      <c r="D3" s="29"/>
      <c r="E3" s="25"/>
      <c r="F3" s="19" t="s">
        <v>14</v>
      </c>
      <c r="G3" s="20">
        <f>22500</f>
        <v>22500</v>
      </c>
      <c r="H3" s="20" t="s">
        <v>15</v>
      </c>
    </row>
    <row r="4" spans="1:8" x14ac:dyDescent="0.2">
      <c r="A4" s="18"/>
      <c r="B4" s="18"/>
      <c r="C4" s="25"/>
      <c r="D4" s="29"/>
      <c r="E4" s="25"/>
      <c r="F4" s="19" t="s">
        <v>16</v>
      </c>
      <c r="G4" s="20">
        <f>21000</f>
        <v>21000</v>
      </c>
      <c r="H4" s="20" t="s">
        <v>17</v>
      </c>
    </row>
    <row r="5" spans="1:8" x14ac:dyDescent="0.2">
      <c r="A5" s="18"/>
      <c r="B5" s="18"/>
      <c r="C5" s="25"/>
      <c r="D5" s="25" t="s">
        <v>18</v>
      </c>
      <c r="E5" s="25"/>
      <c r="F5" s="19" t="s">
        <v>19</v>
      </c>
      <c r="G5" s="20">
        <f>19000</f>
        <v>19000</v>
      </c>
      <c r="H5" s="20" t="s">
        <v>20</v>
      </c>
    </row>
    <row r="6" spans="1:8" x14ac:dyDescent="0.2">
      <c r="A6" s="18"/>
      <c r="B6" s="18"/>
      <c r="C6" s="25"/>
      <c r="D6" s="25"/>
      <c r="E6" s="25"/>
      <c r="F6" s="19" t="s">
        <v>21</v>
      </c>
      <c r="G6" s="20">
        <f>18500</f>
        <v>18500</v>
      </c>
      <c r="H6" s="20" t="s">
        <v>22</v>
      </c>
    </row>
    <row r="7" spans="1:8" ht="16" customHeight="1" x14ac:dyDescent="0.2">
      <c r="A7" s="18"/>
      <c r="B7" s="18"/>
      <c r="C7" s="25"/>
      <c r="D7" s="25"/>
      <c r="E7" s="25"/>
      <c r="F7" s="19" t="s">
        <v>23</v>
      </c>
      <c r="G7" s="20">
        <f>18000</f>
        <v>18000</v>
      </c>
      <c r="H7" s="20" t="s">
        <v>24</v>
      </c>
    </row>
    <row r="8" spans="1:8" ht="17" customHeight="1" x14ac:dyDescent="0.2">
      <c r="A8" s="18"/>
      <c r="B8" s="18"/>
      <c r="C8" s="25"/>
      <c r="D8" s="29" t="s">
        <v>11</v>
      </c>
      <c r="E8" s="25"/>
      <c r="F8" s="19" t="s">
        <v>12</v>
      </c>
      <c r="G8" s="20">
        <v>0</v>
      </c>
      <c r="H8" s="20" t="s">
        <v>13</v>
      </c>
    </row>
    <row r="9" spans="1:8" x14ac:dyDescent="0.2">
      <c r="A9" s="18"/>
      <c r="B9" s="18"/>
      <c r="C9" s="25"/>
      <c r="D9" s="29"/>
      <c r="E9" s="25"/>
      <c r="F9" s="19" t="s">
        <v>14</v>
      </c>
      <c r="G9" s="20">
        <f>22500</f>
        <v>22500</v>
      </c>
      <c r="H9" s="20" t="s">
        <v>15</v>
      </c>
    </row>
    <row r="10" spans="1:8" x14ac:dyDescent="0.2">
      <c r="A10" s="18"/>
      <c r="B10" s="18"/>
      <c r="C10" s="25"/>
      <c r="D10" s="29"/>
      <c r="E10" s="25"/>
      <c r="F10" s="19" t="s">
        <v>16</v>
      </c>
      <c r="G10" s="20">
        <f>21000</f>
        <v>21000</v>
      </c>
      <c r="H10" s="20" t="s">
        <v>17</v>
      </c>
    </row>
    <row r="11" spans="1:8" x14ac:dyDescent="0.2">
      <c r="A11" s="18"/>
      <c r="B11" s="18"/>
      <c r="C11" s="25"/>
      <c r="D11" s="25" t="s">
        <v>18</v>
      </c>
      <c r="E11" s="25"/>
      <c r="F11" s="19" t="s">
        <v>19</v>
      </c>
      <c r="G11" s="20">
        <f>19000</f>
        <v>19000</v>
      </c>
      <c r="H11" s="20" t="s">
        <v>20</v>
      </c>
    </row>
    <row r="12" spans="1:8" x14ac:dyDescent="0.2">
      <c r="A12" s="18"/>
      <c r="B12" s="18"/>
      <c r="C12" s="25"/>
      <c r="D12" s="25"/>
      <c r="E12" s="25"/>
      <c r="F12" s="19" t="s">
        <v>21</v>
      </c>
      <c r="G12" s="20">
        <f>18500</f>
        <v>18500</v>
      </c>
      <c r="H12" s="20" t="s">
        <v>22</v>
      </c>
    </row>
    <row r="13" spans="1:8" x14ac:dyDescent="0.2">
      <c r="A13" s="18"/>
      <c r="B13" s="18"/>
      <c r="C13" s="25"/>
      <c r="D13" s="25"/>
      <c r="E13" s="25"/>
      <c r="F13" s="19" t="s">
        <v>23</v>
      </c>
      <c r="G13" s="20">
        <f>18000</f>
        <v>18000</v>
      </c>
      <c r="H13" s="20" t="s">
        <v>24</v>
      </c>
    </row>
    <row r="14" spans="1:8" x14ac:dyDescent="0.2">
      <c r="A14" s="18"/>
      <c r="B14" s="18"/>
      <c r="C14" s="33" t="s">
        <v>87</v>
      </c>
      <c r="D14" s="33" t="s">
        <v>25</v>
      </c>
      <c r="E14" s="33" t="s">
        <v>87</v>
      </c>
      <c r="F14" s="21" t="s">
        <v>12</v>
      </c>
      <c r="G14" s="22">
        <f>32000</f>
        <v>32000</v>
      </c>
      <c r="H14" s="22" t="s">
        <v>13</v>
      </c>
    </row>
    <row r="15" spans="1:8" x14ac:dyDescent="0.2">
      <c r="A15" s="18"/>
      <c r="B15" s="18"/>
      <c r="C15" s="33"/>
      <c r="D15" s="33"/>
      <c r="E15" s="33"/>
      <c r="F15" s="21" t="s">
        <v>14</v>
      </c>
      <c r="G15" s="22">
        <f>26500</f>
        <v>26500</v>
      </c>
      <c r="H15" s="22" t="s">
        <v>15</v>
      </c>
    </row>
    <row r="16" spans="1:8" x14ac:dyDescent="0.2">
      <c r="A16" s="18"/>
      <c r="B16" s="18"/>
      <c r="C16" s="33"/>
      <c r="D16" s="33"/>
      <c r="E16" s="33"/>
      <c r="F16" s="21" t="s">
        <v>16</v>
      </c>
      <c r="G16" s="22">
        <f>24500</f>
        <v>24500</v>
      </c>
      <c r="H16" s="22" t="s">
        <v>17</v>
      </c>
    </row>
    <row r="17" spans="1:8" x14ac:dyDescent="0.2">
      <c r="A17" s="18"/>
      <c r="B17" s="18"/>
      <c r="C17" s="33"/>
      <c r="D17" s="33" t="s">
        <v>18</v>
      </c>
      <c r="E17" s="33"/>
      <c r="F17" s="21" t="s">
        <v>19</v>
      </c>
      <c r="G17" s="22">
        <f>23000</f>
        <v>23000</v>
      </c>
      <c r="H17" s="22" t="s">
        <v>20</v>
      </c>
    </row>
    <row r="18" spans="1:8" x14ac:dyDescent="0.2">
      <c r="A18" s="18"/>
      <c r="B18" s="18"/>
      <c r="C18" s="33"/>
      <c r="D18" s="33"/>
      <c r="E18" s="33"/>
      <c r="F18" s="21" t="s">
        <v>21</v>
      </c>
      <c r="G18" s="22">
        <f>22000</f>
        <v>22000</v>
      </c>
      <c r="H18" s="22" t="s">
        <v>22</v>
      </c>
    </row>
    <row r="19" spans="1:8" x14ac:dyDescent="0.2">
      <c r="A19" s="18"/>
      <c r="B19" s="18"/>
      <c r="C19" s="33"/>
      <c r="D19" s="33"/>
      <c r="E19" s="33"/>
      <c r="F19" s="21" t="s">
        <v>23</v>
      </c>
      <c r="G19" s="22">
        <f>20999</f>
        <v>20999</v>
      </c>
      <c r="H19" s="22" t="s">
        <v>24</v>
      </c>
    </row>
    <row r="20" spans="1:8" x14ac:dyDescent="0.2">
      <c r="A20" s="18"/>
      <c r="B20" s="18"/>
      <c r="C20" s="33"/>
      <c r="D20" s="33" t="s">
        <v>25</v>
      </c>
      <c r="E20" s="33"/>
      <c r="F20" s="21" t="s">
        <v>12</v>
      </c>
      <c r="G20" s="22">
        <f>32000</f>
        <v>32000</v>
      </c>
      <c r="H20" s="22" t="s">
        <v>13</v>
      </c>
    </row>
    <row r="21" spans="1:8" x14ac:dyDescent="0.2">
      <c r="A21" s="18"/>
      <c r="B21" s="18"/>
      <c r="C21" s="33"/>
      <c r="D21" s="33"/>
      <c r="E21" s="33"/>
      <c r="F21" s="21" t="s">
        <v>14</v>
      </c>
      <c r="G21" s="22">
        <f>26500</f>
        <v>26500</v>
      </c>
      <c r="H21" s="22" t="s">
        <v>15</v>
      </c>
    </row>
    <row r="22" spans="1:8" x14ac:dyDescent="0.2">
      <c r="A22" s="18"/>
      <c r="B22" s="18"/>
      <c r="C22" s="33"/>
      <c r="D22" s="33"/>
      <c r="E22" s="33"/>
      <c r="F22" s="21" t="s">
        <v>16</v>
      </c>
      <c r="G22" s="22">
        <f>24500</f>
        <v>24500</v>
      </c>
      <c r="H22" s="22" t="s">
        <v>17</v>
      </c>
    </row>
    <row r="23" spans="1:8" x14ac:dyDescent="0.2">
      <c r="A23" s="18"/>
      <c r="B23" s="18"/>
      <c r="C23" s="33"/>
      <c r="D23" s="33" t="s">
        <v>18</v>
      </c>
      <c r="E23" s="33"/>
      <c r="F23" s="21" t="s">
        <v>19</v>
      </c>
      <c r="G23" s="22">
        <f>23000</f>
        <v>23000</v>
      </c>
      <c r="H23" s="22" t="s">
        <v>20</v>
      </c>
    </row>
    <row r="24" spans="1:8" x14ac:dyDescent="0.2">
      <c r="A24" s="18"/>
      <c r="B24" s="18"/>
      <c r="C24" s="33"/>
      <c r="D24" s="33"/>
      <c r="E24" s="33"/>
      <c r="F24" s="21" t="s">
        <v>77</v>
      </c>
      <c r="G24" s="22">
        <f>22000</f>
        <v>22000</v>
      </c>
      <c r="H24" s="22" t="s">
        <v>76</v>
      </c>
    </row>
    <row r="25" spans="1:8" x14ac:dyDescent="0.2">
      <c r="A25" s="18"/>
      <c r="B25" s="18"/>
      <c r="C25" s="33"/>
      <c r="D25" s="33"/>
      <c r="E25" s="33"/>
      <c r="F25" s="21" t="s">
        <v>21</v>
      </c>
      <c r="G25" s="22">
        <f>22000</f>
        <v>22000</v>
      </c>
      <c r="H25" s="22" t="s">
        <v>22</v>
      </c>
    </row>
    <row r="26" spans="1:8" x14ac:dyDescent="0.2">
      <c r="A26" s="18"/>
      <c r="B26" s="18"/>
      <c r="C26" s="42"/>
      <c r="D26" s="42"/>
      <c r="E26" s="33"/>
      <c r="F26" s="21" t="s">
        <v>23</v>
      </c>
      <c r="G26" s="22">
        <f>20999</f>
        <v>20999</v>
      </c>
      <c r="H26" s="22" t="s">
        <v>24</v>
      </c>
    </row>
    <row r="27" spans="1:8" ht="16" customHeight="1" x14ac:dyDescent="0.2">
      <c r="A27" s="23"/>
      <c r="B27" s="23"/>
      <c r="C27" s="37" t="s">
        <v>69</v>
      </c>
      <c r="D27" s="37" t="s">
        <v>26</v>
      </c>
      <c r="E27" s="37" t="s">
        <v>69</v>
      </c>
      <c r="F27" s="23" t="s">
        <v>12</v>
      </c>
      <c r="G27" s="24">
        <v>0</v>
      </c>
      <c r="H27" s="24" t="s">
        <v>13</v>
      </c>
    </row>
    <row r="28" spans="1:8" x14ac:dyDescent="0.2">
      <c r="A28" s="23"/>
      <c r="B28" s="23"/>
      <c r="C28" s="37"/>
      <c r="D28" s="37"/>
      <c r="E28" s="37"/>
      <c r="F28" s="23" t="s">
        <v>14</v>
      </c>
      <c r="G28" s="24">
        <f>29000*4</f>
        <v>116000</v>
      </c>
      <c r="H28" s="24" t="s">
        <v>15</v>
      </c>
    </row>
    <row r="29" spans="1:8" x14ac:dyDescent="0.2">
      <c r="A29" s="23"/>
      <c r="B29" s="23"/>
      <c r="C29" s="37"/>
      <c r="D29" s="37"/>
      <c r="E29" s="37"/>
      <c r="F29" s="23" t="s">
        <v>16</v>
      </c>
      <c r="G29" s="24">
        <f>27000*6</f>
        <v>162000</v>
      </c>
      <c r="H29" s="24" t="s">
        <v>17</v>
      </c>
    </row>
    <row r="30" spans="1:8" x14ac:dyDescent="0.2">
      <c r="A30" s="23"/>
      <c r="B30" s="23"/>
      <c r="C30" s="37"/>
      <c r="D30" s="37" t="s">
        <v>18</v>
      </c>
      <c r="E30" s="37"/>
      <c r="F30" s="23" t="s">
        <v>19</v>
      </c>
      <c r="G30" s="24">
        <f>26000*8</f>
        <v>208000</v>
      </c>
      <c r="H30" s="24" t="s">
        <v>20</v>
      </c>
    </row>
    <row r="31" spans="1:8" x14ac:dyDescent="0.2">
      <c r="A31" s="23"/>
      <c r="B31" s="23"/>
      <c r="C31" s="37"/>
      <c r="D31" s="37"/>
      <c r="E31" s="37"/>
      <c r="F31" s="23" t="s">
        <v>21</v>
      </c>
      <c r="G31" s="24">
        <f>25000*10</f>
        <v>250000</v>
      </c>
      <c r="H31" s="24" t="s">
        <v>22</v>
      </c>
    </row>
    <row r="32" spans="1:8" x14ac:dyDescent="0.2">
      <c r="A32" s="23"/>
      <c r="B32" s="23"/>
      <c r="C32" s="37"/>
      <c r="D32" s="37"/>
      <c r="E32" s="37"/>
      <c r="F32" s="23" t="s">
        <v>23</v>
      </c>
      <c r="G32" s="24">
        <f>24000*12</f>
        <v>288000</v>
      </c>
      <c r="H32" s="24" t="s">
        <v>24</v>
      </c>
    </row>
    <row r="33" spans="1:8" ht="16" customHeight="1" x14ac:dyDescent="0.2">
      <c r="A33" s="23"/>
      <c r="B33" s="23"/>
      <c r="C33" s="37"/>
      <c r="D33" s="37" t="s">
        <v>26</v>
      </c>
      <c r="E33" s="37"/>
      <c r="F33" s="23" t="s">
        <v>12</v>
      </c>
      <c r="G33" s="24">
        <v>0</v>
      </c>
      <c r="H33" s="24" t="s">
        <v>13</v>
      </c>
    </row>
    <row r="34" spans="1:8" x14ac:dyDescent="0.2">
      <c r="A34" s="23"/>
      <c r="B34" s="23"/>
      <c r="C34" s="37"/>
      <c r="D34" s="37"/>
      <c r="E34" s="37"/>
      <c r="F34" s="23" t="s">
        <v>14</v>
      </c>
      <c r="G34" s="24">
        <f>29000*4</f>
        <v>116000</v>
      </c>
      <c r="H34" s="24" t="s">
        <v>15</v>
      </c>
    </row>
    <row r="35" spans="1:8" x14ac:dyDescent="0.2">
      <c r="A35" s="23"/>
      <c r="B35" s="23"/>
      <c r="C35" s="37"/>
      <c r="D35" s="37"/>
      <c r="E35" s="37"/>
      <c r="F35" s="23" t="s">
        <v>16</v>
      </c>
      <c r="G35" s="24">
        <f>27000*6</f>
        <v>162000</v>
      </c>
      <c r="H35" s="24" t="s">
        <v>17</v>
      </c>
    </row>
    <row r="36" spans="1:8" x14ac:dyDescent="0.2">
      <c r="A36" s="23"/>
      <c r="B36" s="23"/>
      <c r="C36" s="37"/>
      <c r="D36" s="37" t="s">
        <v>18</v>
      </c>
      <c r="E36" s="37"/>
      <c r="F36" s="23" t="s">
        <v>19</v>
      </c>
      <c r="G36" s="24">
        <f>26000*8</f>
        <v>208000</v>
      </c>
      <c r="H36" s="24" t="s">
        <v>20</v>
      </c>
    </row>
    <row r="37" spans="1:8" x14ac:dyDescent="0.2">
      <c r="A37" s="23"/>
      <c r="B37" s="23"/>
      <c r="C37" s="37"/>
      <c r="D37" s="37"/>
      <c r="E37" s="37"/>
      <c r="F37" s="23" t="s">
        <v>21</v>
      </c>
      <c r="G37" s="24">
        <f>25000*10</f>
        <v>250000</v>
      </c>
      <c r="H37" s="24" t="s">
        <v>22</v>
      </c>
    </row>
    <row r="38" spans="1:8" x14ac:dyDescent="0.2">
      <c r="A38" s="23"/>
      <c r="B38" s="23"/>
      <c r="C38" s="37"/>
      <c r="D38" s="37"/>
      <c r="E38" s="37"/>
      <c r="F38" s="23" t="s">
        <v>23</v>
      </c>
      <c r="G38" s="24">
        <f>24000*12</f>
        <v>288000</v>
      </c>
      <c r="H38" s="24" t="s">
        <v>24</v>
      </c>
    </row>
  </sheetData>
  <mergeCells count="18">
    <mergeCell ref="D17:D19"/>
    <mergeCell ref="D20:D22"/>
    <mergeCell ref="D23:D25"/>
    <mergeCell ref="C14:C25"/>
    <mergeCell ref="C27:C38"/>
    <mergeCell ref="D27:D29"/>
    <mergeCell ref="E27:E38"/>
    <mergeCell ref="D30:D32"/>
    <mergeCell ref="D33:D35"/>
    <mergeCell ref="D36:D38"/>
    <mergeCell ref="D14:D16"/>
    <mergeCell ref="E14:E26"/>
    <mergeCell ref="D11:D13"/>
    <mergeCell ref="C2:C13"/>
    <mergeCell ref="E2:E13"/>
    <mergeCell ref="D2:D4"/>
    <mergeCell ref="D8:D10"/>
    <mergeCell ref="D5:D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8"/>
  <sheetViews>
    <sheetView workbookViewId="0">
      <selection activeCell="C1" sqref="C1:E1048576"/>
    </sheetView>
  </sheetViews>
  <sheetFormatPr baseColWidth="10" defaultRowHeight="16" x14ac:dyDescent="0.2"/>
  <cols>
    <col min="1" max="1" width="18" bestFit="1" customWidth="1"/>
    <col min="4" max="4" width="13.83203125" bestFit="1" customWidth="1"/>
    <col min="8" max="8" width="15.83203125" bestFit="1" customWidth="1"/>
  </cols>
  <sheetData>
    <row r="1" spans="1:8" x14ac:dyDescent="0.2">
      <c r="A1" s="43" t="s">
        <v>0</v>
      </c>
      <c r="B1" s="43" t="s">
        <v>1</v>
      </c>
      <c r="C1" s="16" t="s">
        <v>2</v>
      </c>
      <c r="D1" s="16" t="s">
        <v>3</v>
      </c>
      <c r="E1" s="16" t="s">
        <v>66</v>
      </c>
      <c r="F1" s="43" t="s">
        <v>4</v>
      </c>
      <c r="G1" s="44" t="s">
        <v>6</v>
      </c>
      <c r="H1" s="43" t="s">
        <v>7</v>
      </c>
    </row>
    <row r="2" spans="1:8" x14ac:dyDescent="0.2">
      <c r="A2" s="43" t="s">
        <v>84</v>
      </c>
      <c r="B2" s="43" t="s">
        <v>79</v>
      </c>
      <c r="C2" s="25" t="s">
        <v>10</v>
      </c>
      <c r="D2" s="29" t="s">
        <v>11</v>
      </c>
      <c r="E2" s="25" t="s">
        <v>10</v>
      </c>
      <c r="F2" s="45" t="s">
        <v>12</v>
      </c>
      <c r="G2" s="46">
        <v>25000</v>
      </c>
      <c r="H2" s="46" t="s">
        <v>13</v>
      </c>
    </row>
    <row r="3" spans="1:8" x14ac:dyDescent="0.2">
      <c r="A3" s="43"/>
      <c r="B3" s="43"/>
      <c r="C3" s="25"/>
      <c r="D3" s="29"/>
      <c r="E3" s="25"/>
      <c r="F3" s="45" t="s">
        <v>14</v>
      </c>
      <c r="G3" s="46">
        <v>21000</v>
      </c>
      <c r="H3" s="46" t="s">
        <v>15</v>
      </c>
    </row>
    <row r="4" spans="1:8" x14ac:dyDescent="0.2">
      <c r="A4" s="43"/>
      <c r="B4" s="43"/>
      <c r="C4" s="25"/>
      <c r="D4" s="29"/>
      <c r="E4" s="25"/>
      <c r="F4" s="45" t="s">
        <v>16</v>
      </c>
      <c r="G4" s="46">
        <v>18000</v>
      </c>
      <c r="H4" s="46" t="s">
        <v>17</v>
      </c>
    </row>
    <row r="5" spans="1:8" x14ac:dyDescent="0.2">
      <c r="A5" s="43"/>
      <c r="B5" s="43"/>
      <c r="C5" s="25"/>
      <c r="D5" s="25" t="s">
        <v>18</v>
      </c>
      <c r="E5" s="25"/>
      <c r="F5" s="45" t="s">
        <v>19</v>
      </c>
      <c r="G5" s="46">
        <v>15000</v>
      </c>
      <c r="H5" s="46" t="s">
        <v>20</v>
      </c>
    </row>
    <row r="6" spans="1:8" x14ac:dyDescent="0.2">
      <c r="A6" s="43"/>
      <c r="B6" s="43"/>
      <c r="C6" s="25"/>
      <c r="D6" s="25"/>
      <c r="E6" s="25"/>
      <c r="F6" s="45" t="s">
        <v>21</v>
      </c>
      <c r="G6" s="46">
        <v>13000</v>
      </c>
      <c r="H6" s="46" t="s">
        <v>22</v>
      </c>
    </row>
    <row r="7" spans="1:8" x14ac:dyDescent="0.2">
      <c r="A7" s="43"/>
      <c r="B7" s="43"/>
      <c r="C7" s="25"/>
      <c r="D7" s="25"/>
      <c r="E7" s="25"/>
      <c r="F7" s="45" t="s">
        <v>23</v>
      </c>
      <c r="G7" s="46">
        <v>12000</v>
      </c>
      <c r="H7" s="46" t="s">
        <v>24</v>
      </c>
    </row>
    <row r="8" spans="1:8" x14ac:dyDescent="0.2">
      <c r="A8" s="43"/>
      <c r="B8" s="43"/>
      <c r="C8" s="25"/>
      <c r="D8" s="29" t="s">
        <v>11</v>
      </c>
      <c r="E8" s="25"/>
      <c r="F8" s="45" t="s">
        <v>12</v>
      </c>
      <c r="G8" s="46">
        <v>25000</v>
      </c>
      <c r="H8" s="46" t="s">
        <v>13</v>
      </c>
    </row>
    <row r="9" spans="1:8" x14ac:dyDescent="0.2">
      <c r="A9" s="43"/>
      <c r="B9" s="43"/>
      <c r="C9" s="25"/>
      <c r="D9" s="29"/>
      <c r="E9" s="25"/>
      <c r="F9" s="45" t="s">
        <v>14</v>
      </c>
      <c r="G9" s="46">
        <v>21000</v>
      </c>
      <c r="H9" s="46" t="s">
        <v>15</v>
      </c>
    </row>
    <row r="10" spans="1:8" x14ac:dyDescent="0.2">
      <c r="A10" s="43"/>
      <c r="B10" s="43"/>
      <c r="C10" s="25"/>
      <c r="D10" s="29"/>
      <c r="E10" s="25"/>
      <c r="F10" s="45" t="s">
        <v>16</v>
      </c>
      <c r="G10" s="46">
        <v>18000</v>
      </c>
      <c r="H10" s="46" t="s">
        <v>17</v>
      </c>
    </row>
    <row r="11" spans="1:8" x14ac:dyDescent="0.2">
      <c r="A11" s="43"/>
      <c r="B11" s="43"/>
      <c r="C11" s="25"/>
      <c r="D11" s="25" t="s">
        <v>18</v>
      </c>
      <c r="E11" s="25"/>
      <c r="F11" s="45" t="s">
        <v>19</v>
      </c>
      <c r="G11" s="46">
        <v>15000</v>
      </c>
      <c r="H11" s="46" t="s">
        <v>20</v>
      </c>
    </row>
    <row r="12" spans="1:8" x14ac:dyDescent="0.2">
      <c r="A12" s="43"/>
      <c r="B12" s="43"/>
      <c r="C12" s="25"/>
      <c r="D12" s="25"/>
      <c r="E12" s="25"/>
      <c r="F12" s="45" t="s">
        <v>21</v>
      </c>
      <c r="G12" s="46">
        <v>13000</v>
      </c>
      <c r="H12" s="46" t="s">
        <v>22</v>
      </c>
    </row>
    <row r="13" spans="1:8" x14ac:dyDescent="0.2">
      <c r="A13" s="43"/>
      <c r="B13" s="43"/>
      <c r="C13" s="25"/>
      <c r="D13" s="25"/>
      <c r="E13" s="25"/>
      <c r="F13" s="45" t="s">
        <v>23</v>
      </c>
      <c r="G13" s="46">
        <v>12000</v>
      </c>
      <c r="H13" s="46" t="s">
        <v>24</v>
      </c>
    </row>
    <row r="14" spans="1:8" x14ac:dyDescent="0.2">
      <c r="A14" s="43"/>
      <c r="B14" s="43"/>
      <c r="C14" s="33" t="s">
        <v>87</v>
      </c>
      <c r="D14" s="33" t="s">
        <v>25</v>
      </c>
      <c r="E14" s="33" t="s">
        <v>87</v>
      </c>
      <c r="F14" s="21" t="s">
        <v>12</v>
      </c>
      <c r="G14" s="22">
        <v>28000</v>
      </c>
      <c r="H14" s="22" t="s">
        <v>13</v>
      </c>
    </row>
    <row r="15" spans="1:8" x14ac:dyDescent="0.2">
      <c r="A15" s="43"/>
      <c r="B15" s="43"/>
      <c r="C15" s="33"/>
      <c r="D15" s="33"/>
      <c r="E15" s="33"/>
      <c r="F15" s="21" t="s">
        <v>14</v>
      </c>
      <c r="G15" s="22">
        <v>24000</v>
      </c>
      <c r="H15" s="22" t="s">
        <v>15</v>
      </c>
    </row>
    <row r="16" spans="1:8" x14ac:dyDescent="0.2">
      <c r="A16" s="43"/>
      <c r="B16" s="43"/>
      <c r="C16" s="33"/>
      <c r="D16" s="33"/>
      <c r="E16" s="33"/>
      <c r="F16" s="21" t="s">
        <v>16</v>
      </c>
      <c r="G16" s="22">
        <v>22000</v>
      </c>
      <c r="H16" s="22" t="s">
        <v>17</v>
      </c>
    </row>
    <row r="17" spans="1:8" x14ac:dyDescent="0.2">
      <c r="A17" s="43"/>
      <c r="B17" s="43"/>
      <c r="C17" s="33"/>
      <c r="D17" s="33" t="s">
        <v>18</v>
      </c>
      <c r="E17" s="33"/>
      <c r="F17" s="21" t="s">
        <v>19</v>
      </c>
      <c r="G17" s="22">
        <v>19999</v>
      </c>
      <c r="H17" s="22" t="s">
        <v>20</v>
      </c>
    </row>
    <row r="18" spans="1:8" x14ac:dyDescent="0.2">
      <c r="A18" s="43"/>
      <c r="B18" s="43"/>
      <c r="C18" s="33"/>
      <c r="D18" s="33"/>
      <c r="E18" s="33"/>
      <c r="F18" s="21" t="s">
        <v>21</v>
      </c>
      <c r="G18" s="22">
        <v>18500</v>
      </c>
      <c r="H18" s="22" t="s">
        <v>22</v>
      </c>
    </row>
    <row r="19" spans="1:8" x14ac:dyDescent="0.2">
      <c r="A19" s="43"/>
      <c r="B19" s="43"/>
      <c r="C19" s="33"/>
      <c r="D19" s="33"/>
      <c r="E19" s="33"/>
      <c r="F19" s="21" t="s">
        <v>23</v>
      </c>
      <c r="G19" s="22">
        <v>17000</v>
      </c>
      <c r="H19" s="22" t="s">
        <v>24</v>
      </c>
    </row>
    <row r="20" spans="1:8" x14ac:dyDescent="0.2">
      <c r="A20" s="43"/>
      <c r="B20" s="43"/>
      <c r="C20" s="33"/>
      <c r="D20" s="33" t="s">
        <v>25</v>
      </c>
      <c r="E20" s="33"/>
      <c r="F20" s="21" t="s">
        <v>12</v>
      </c>
      <c r="G20" s="22">
        <v>28000</v>
      </c>
      <c r="H20" s="22" t="s">
        <v>13</v>
      </c>
    </row>
    <row r="21" spans="1:8" x14ac:dyDescent="0.2">
      <c r="A21" s="43"/>
      <c r="B21" s="43"/>
      <c r="C21" s="33"/>
      <c r="D21" s="33"/>
      <c r="E21" s="33"/>
      <c r="F21" s="21" t="s">
        <v>14</v>
      </c>
      <c r="G21" s="22">
        <v>24000</v>
      </c>
      <c r="H21" s="22" t="s">
        <v>15</v>
      </c>
    </row>
    <row r="22" spans="1:8" x14ac:dyDescent="0.2">
      <c r="A22" s="43"/>
      <c r="B22" s="43"/>
      <c r="C22" s="33"/>
      <c r="D22" s="33"/>
      <c r="E22" s="33"/>
      <c r="F22" s="21" t="s">
        <v>16</v>
      </c>
      <c r="G22" s="22">
        <v>22000</v>
      </c>
      <c r="H22" s="22" t="s">
        <v>17</v>
      </c>
    </row>
    <row r="23" spans="1:8" x14ac:dyDescent="0.2">
      <c r="A23" s="43"/>
      <c r="B23" s="43"/>
      <c r="C23" s="33"/>
      <c r="D23" s="33" t="s">
        <v>18</v>
      </c>
      <c r="E23" s="33"/>
      <c r="F23" s="21" t="s">
        <v>19</v>
      </c>
      <c r="G23" s="22">
        <v>19999</v>
      </c>
      <c r="H23" s="22" t="s">
        <v>20</v>
      </c>
    </row>
    <row r="24" spans="1:8" x14ac:dyDescent="0.2">
      <c r="A24" s="43"/>
      <c r="B24" s="43"/>
      <c r="C24" s="33"/>
      <c r="D24" s="33"/>
      <c r="E24" s="33"/>
      <c r="F24" s="21" t="s">
        <v>21</v>
      </c>
      <c r="G24" s="22">
        <v>18500</v>
      </c>
      <c r="H24" s="22" t="s">
        <v>22</v>
      </c>
    </row>
    <row r="25" spans="1:8" x14ac:dyDescent="0.2">
      <c r="A25" s="43"/>
      <c r="B25" s="43"/>
      <c r="C25" s="33"/>
      <c r="D25" s="33"/>
      <c r="E25" s="33"/>
      <c r="F25" s="21" t="s">
        <v>23</v>
      </c>
      <c r="G25" s="22">
        <v>17000</v>
      </c>
      <c r="H25" s="22" t="s">
        <v>24</v>
      </c>
    </row>
    <row r="26" spans="1:8" x14ac:dyDescent="0.2">
      <c r="A26" s="23"/>
      <c r="B26" s="23"/>
      <c r="C26" s="42"/>
      <c r="D26" s="42"/>
      <c r="E26" s="33"/>
      <c r="F26" s="23" t="s">
        <v>12</v>
      </c>
      <c r="G26" s="24">
        <v>30000</v>
      </c>
      <c r="H26" s="24" t="s">
        <v>13</v>
      </c>
    </row>
    <row r="27" spans="1:8" x14ac:dyDescent="0.2">
      <c r="A27" s="23"/>
      <c r="B27" s="23"/>
      <c r="C27" s="37" t="s">
        <v>69</v>
      </c>
      <c r="D27" s="37" t="s">
        <v>26</v>
      </c>
      <c r="E27" s="37" t="s">
        <v>69</v>
      </c>
      <c r="F27" s="23" t="s">
        <v>14</v>
      </c>
      <c r="G27" s="24">
        <v>27000</v>
      </c>
      <c r="H27" s="24" t="s">
        <v>15</v>
      </c>
    </row>
    <row r="28" spans="1:8" x14ac:dyDescent="0.2">
      <c r="A28" s="23"/>
      <c r="B28" s="23"/>
      <c r="C28" s="37"/>
      <c r="D28" s="37"/>
      <c r="E28" s="37"/>
      <c r="F28" s="23" t="s">
        <v>16</v>
      </c>
      <c r="G28" s="24">
        <v>25000</v>
      </c>
      <c r="H28" s="24" t="s">
        <v>17</v>
      </c>
    </row>
    <row r="29" spans="1:8" x14ac:dyDescent="0.2">
      <c r="A29" s="23"/>
      <c r="B29" s="23"/>
      <c r="C29" s="37"/>
      <c r="D29" s="37"/>
      <c r="E29" s="37"/>
      <c r="F29" s="23" t="s">
        <v>19</v>
      </c>
      <c r="G29" s="24">
        <v>23000</v>
      </c>
      <c r="H29" s="24" t="s">
        <v>20</v>
      </c>
    </row>
    <row r="30" spans="1:8" x14ac:dyDescent="0.2">
      <c r="A30" s="23"/>
      <c r="B30" s="23"/>
      <c r="C30" s="37"/>
      <c r="D30" s="37" t="s">
        <v>18</v>
      </c>
      <c r="E30" s="37"/>
      <c r="F30" s="23" t="s">
        <v>21</v>
      </c>
      <c r="G30" s="24">
        <v>21500</v>
      </c>
      <c r="H30" s="24" t="s">
        <v>22</v>
      </c>
    </row>
    <row r="31" spans="1:8" x14ac:dyDescent="0.2">
      <c r="A31" s="23"/>
      <c r="B31" s="23"/>
      <c r="C31" s="37"/>
      <c r="D31" s="37"/>
      <c r="E31" s="37"/>
      <c r="F31" s="23" t="s">
        <v>23</v>
      </c>
      <c r="G31" s="24">
        <v>19999</v>
      </c>
      <c r="H31" s="24" t="s">
        <v>24</v>
      </c>
    </row>
    <row r="32" spans="1:8" x14ac:dyDescent="0.2">
      <c r="A32" s="23"/>
      <c r="B32" s="23"/>
      <c r="C32" s="37"/>
      <c r="D32" s="37"/>
      <c r="E32" s="37"/>
      <c r="F32" s="23" t="s">
        <v>12</v>
      </c>
      <c r="G32" s="24">
        <v>30000</v>
      </c>
      <c r="H32" s="24" t="s">
        <v>13</v>
      </c>
    </row>
    <row r="33" spans="1:8" x14ac:dyDescent="0.2">
      <c r="A33" s="23"/>
      <c r="B33" s="23"/>
      <c r="C33" s="37"/>
      <c r="D33" s="37" t="s">
        <v>26</v>
      </c>
      <c r="E33" s="37"/>
      <c r="F33" s="23" t="s">
        <v>14</v>
      </c>
      <c r="G33" s="24">
        <v>27000</v>
      </c>
      <c r="H33" s="24" t="s">
        <v>15</v>
      </c>
    </row>
    <row r="34" spans="1:8" x14ac:dyDescent="0.2">
      <c r="A34" s="23"/>
      <c r="B34" s="23"/>
      <c r="C34" s="37"/>
      <c r="D34" s="37"/>
      <c r="E34" s="37"/>
      <c r="F34" s="23" t="s">
        <v>16</v>
      </c>
      <c r="G34" s="24">
        <v>25000</v>
      </c>
      <c r="H34" s="24" t="s">
        <v>17</v>
      </c>
    </row>
    <row r="35" spans="1:8" x14ac:dyDescent="0.2">
      <c r="A35" s="23"/>
      <c r="B35" s="23"/>
      <c r="C35" s="37"/>
      <c r="D35" s="37"/>
      <c r="E35" s="37"/>
      <c r="F35" s="23" t="s">
        <v>19</v>
      </c>
      <c r="G35" s="24">
        <v>23000</v>
      </c>
      <c r="H35" s="24" t="s">
        <v>20</v>
      </c>
    </row>
    <row r="36" spans="1:8" x14ac:dyDescent="0.2">
      <c r="A36" s="23"/>
      <c r="B36" s="23"/>
      <c r="C36" s="37"/>
      <c r="D36" s="37" t="s">
        <v>18</v>
      </c>
      <c r="E36" s="37"/>
      <c r="F36" s="23" t="s">
        <v>21</v>
      </c>
      <c r="G36" s="24">
        <v>21500</v>
      </c>
      <c r="H36" s="24" t="s">
        <v>22</v>
      </c>
    </row>
    <row r="37" spans="1:8" x14ac:dyDescent="0.2">
      <c r="A37" s="23"/>
      <c r="B37" s="23"/>
      <c r="C37" s="37"/>
      <c r="D37" s="37"/>
      <c r="E37" s="37"/>
      <c r="F37" s="23" t="s">
        <v>23</v>
      </c>
      <c r="G37" s="24">
        <v>19999</v>
      </c>
      <c r="H37" s="24" t="s">
        <v>24</v>
      </c>
    </row>
    <row r="38" spans="1:8" x14ac:dyDescent="0.2">
      <c r="C38" s="37"/>
      <c r="D38" s="37"/>
      <c r="E38" s="37"/>
    </row>
  </sheetData>
  <mergeCells count="18">
    <mergeCell ref="C27:C38"/>
    <mergeCell ref="D27:D29"/>
    <mergeCell ref="E27:E38"/>
    <mergeCell ref="D30:D32"/>
    <mergeCell ref="D33:D35"/>
    <mergeCell ref="D36:D38"/>
    <mergeCell ref="C14:C25"/>
    <mergeCell ref="D14:D16"/>
    <mergeCell ref="E14:E26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8"/>
  <sheetViews>
    <sheetView workbookViewId="0">
      <selection activeCell="C1" sqref="C1:E1048576"/>
    </sheetView>
  </sheetViews>
  <sheetFormatPr baseColWidth="10" defaultRowHeight="16" x14ac:dyDescent="0.2"/>
  <cols>
    <col min="4" max="4" width="13.83203125" bestFit="1" customWidth="1"/>
  </cols>
  <sheetData>
    <row r="1" spans="1:8" x14ac:dyDescent="0.2">
      <c r="A1" s="11" t="s">
        <v>0</v>
      </c>
      <c r="B1" s="11" t="s">
        <v>1</v>
      </c>
      <c r="C1" s="16" t="s">
        <v>2</v>
      </c>
      <c r="D1" s="16" t="s">
        <v>3</v>
      </c>
      <c r="E1" s="16" t="s">
        <v>66</v>
      </c>
      <c r="F1" s="11" t="s">
        <v>4</v>
      </c>
      <c r="G1" s="15" t="s">
        <v>6</v>
      </c>
      <c r="H1" s="11" t="s">
        <v>7</v>
      </c>
    </row>
    <row r="2" spans="1:8" x14ac:dyDescent="0.2">
      <c r="A2" s="11" t="s">
        <v>85</v>
      </c>
      <c r="B2" s="11" t="s">
        <v>86</v>
      </c>
      <c r="C2" s="25" t="s">
        <v>10</v>
      </c>
      <c r="D2" s="29" t="s">
        <v>11</v>
      </c>
      <c r="E2" s="25" t="s">
        <v>10</v>
      </c>
      <c r="F2" s="13" t="s">
        <v>12</v>
      </c>
      <c r="G2" s="14">
        <v>39500</v>
      </c>
      <c r="H2" s="14" t="s">
        <v>72</v>
      </c>
    </row>
    <row r="3" spans="1:8" x14ac:dyDescent="0.2">
      <c r="A3" s="11"/>
      <c r="B3" s="11"/>
      <c r="C3" s="25"/>
      <c r="D3" s="29"/>
      <c r="E3" s="25"/>
      <c r="F3" s="13" t="s">
        <v>14</v>
      </c>
      <c r="G3" s="14">
        <v>26500</v>
      </c>
      <c r="H3" s="14" t="s">
        <v>13</v>
      </c>
    </row>
    <row r="4" spans="1:8" x14ac:dyDescent="0.2">
      <c r="A4" s="11"/>
      <c r="B4" s="11"/>
      <c r="C4" s="25"/>
      <c r="D4" s="29"/>
      <c r="E4" s="25"/>
      <c r="F4" s="13" t="s">
        <v>16</v>
      </c>
      <c r="G4" s="14">
        <v>23000</v>
      </c>
      <c r="H4" s="14" t="s">
        <v>15</v>
      </c>
    </row>
    <row r="5" spans="1:8" x14ac:dyDescent="0.2">
      <c r="A5" s="11"/>
      <c r="B5" s="11"/>
      <c r="C5" s="25"/>
      <c r="D5" s="25" t="s">
        <v>18</v>
      </c>
      <c r="E5" s="25"/>
      <c r="F5" s="13" t="s">
        <v>19</v>
      </c>
      <c r="G5" s="14">
        <v>20500</v>
      </c>
      <c r="H5" s="14" t="s">
        <v>17</v>
      </c>
    </row>
    <row r="6" spans="1:8" x14ac:dyDescent="0.2">
      <c r="A6" s="11"/>
      <c r="B6" s="11"/>
      <c r="C6" s="25"/>
      <c r="D6" s="25"/>
      <c r="E6" s="25"/>
      <c r="F6" s="13" t="s">
        <v>21</v>
      </c>
      <c r="G6" s="14">
        <v>18500</v>
      </c>
      <c r="H6" s="14" t="s">
        <v>20</v>
      </c>
    </row>
    <row r="7" spans="1:8" x14ac:dyDescent="0.2">
      <c r="A7" s="11"/>
      <c r="B7" s="11"/>
      <c r="C7" s="25"/>
      <c r="D7" s="25"/>
      <c r="E7" s="25"/>
      <c r="F7" s="13" t="s">
        <v>23</v>
      </c>
      <c r="G7" s="14">
        <v>17500</v>
      </c>
      <c r="H7" s="14" t="s">
        <v>22</v>
      </c>
    </row>
    <row r="8" spans="1:8" x14ac:dyDescent="0.2">
      <c r="A8" s="11"/>
      <c r="B8" s="11"/>
      <c r="C8" s="25"/>
      <c r="D8" s="29" t="s">
        <v>11</v>
      </c>
      <c r="E8" s="25"/>
      <c r="F8" s="13" t="s">
        <v>12</v>
      </c>
      <c r="G8" s="14">
        <v>39500</v>
      </c>
      <c r="H8" s="14" t="s">
        <v>24</v>
      </c>
    </row>
    <row r="9" spans="1:8" x14ac:dyDescent="0.2">
      <c r="A9" s="11"/>
      <c r="B9" s="11"/>
      <c r="C9" s="25"/>
      <c r="D9" s="29"/>
      <c r="E9" s="25"/>
      <c r="F9" s="13" t="s">
        <v>14</v>
      </c>
      <c r="G9" s="14">
        <v>26500</v>
      </c>
      <c r="H9" s="14" t="s">
        <v>13</v>
      </c>
    </row>
    <row r="10" spans="1:8" x14ac:dyDescent="0.2">
      <c r="A10" s="11"/>
      <c r="B10" s="11"/>
      <c r="C10" s="25"/>
      <c r="D10" s="29"/>
      <c r="E10" s="25"/>
      <c r="F10" s="13" t="s">
        <v>16</v>
      </c>
      <c r="G10" s="14">
        <v>23000</v>
      </c>
      <c r="H10" s="14" t="s">
        <v>15</v>
      </c>
    </row>
    <row r="11" spans="1:8" x14ac:dyDescent="0.2">
      <c r="A11" s="11"/>
      <c r="B11" s="11"/>
      <c r="C11" s="25"/>
      <c r="D11" s="25" t="s">
        <v>18</v>
      </c>
      <c r="E11" s="25"/>
      <c r="F11" s="13" t="s">
        <v>19</v>
      </c>
      <c r="G11" s="14">
        <v>20500</v>
      </c>
      <c r="H11" s="14" t="s">
        <v>17</v>
      </c>
    </row>
    <row r="12" spans="1:8" x14ac:dyDescent="0.2">
      <c r="A12" s="11"/>
      <c r="B12" s="11"/>
      <c r="C12" s="25"/>
      <c r="D12" s="25"/>
      <c r="E12" s="25"/>
      <c r="F12" s="13" t="s">
        <v>21</v>
      </c>
      <c r="G12" s="14">
        <v>18500</v>
      </c>
      <c r="H12" s="14" t="s">
        <v>20</v>
      </c>
    </row>
    <row r="13" spans="1:8" x14ac:dyDescent="0.2">
      <c r="A13" s="11"/>
      <c r="B13" s="11"/>
      <c r="C13" s="25"/>
      <c r="D13" s="25"/>
      <c r="E13" s="25"/>
      <c r="F13" s="13" t="s">
        <v>23</v>
      </c>
      <c r="G13" s="14">
        <v>17500</v>
      </c>
      <c r="H13" s="14" t="s">
        <v>22</v>
      </c>
    </row>
    <row r="14" spans="1:8" x14ac:dyDescent="0.2">
      <c r="A14" s="11"/>
      <c r="B14" s="11"/>
      <c r="C14" s="33" t="s">
        <v>87</v>
      </c>
      <c r="D14" s="33" t="s">
        <v>25</v>
      </c>
      <c r="E14" s="33" t="s">
        <v>87</v>
      </c>
      <c r="F14" s="5" t="s">
        <v>12</v>
      </c>
      <c r="G14" s="6">
        <v>45000</v>
      </c>
      <c r="H14" s="14" t="s">
        <v>24</v>
      </c>
    </row>
    <row r="15" spans="1:8" x14ac:dyDescent="0.2">
      <c r="A15" s="11"/>
      <c r="B15" s="11"/>
      <c r="C15" s="33"/>
      <c r="D15" s="33"/>
      <c r="E15" s="33"/>
      <c r="F15" s="5" t="s">
        <v>14</v>
      </c>
      <c r="G15" s="6">
        <v>29500</v>
      </c>
      <c r="H15" s="6" t="s">
        <v>13</v>
      </c>
    </row>
    <row r="16" spans="1:8" x14ac:dyDescent="0.2">
      <c r="A16" s="11"/>
      <c r="B16" s="11"/>
      <c r="C16" s="33"/>
      <c r="D16" s="33"/>
      <c r="E16" s="33"/>
      <c r="F16" s="5" t="s">
        <v>16</v>
      </c>
      <c r="G16" s="6">
        <v>27000</v>
      </c>
      <c r="H16" s="6" t="s">
        <v>15</v>
      </c>
    </row>
    <row r="17" spans="1:8" x14ac:dyDescent="0.2">
      <c r="A17" s="11"/>
      <c r="B17" s="11"/>
      <c r="C17" s="33"/>
      <c r="D17" s="33" t="s">
        <v>18</v>
      </c>
      <c r="E17" s="33"/>
      <c r="F17" s="5" t="s">
        <v>19</v>
      </c>
      <c r="G17" s="6">
        <v>25000</v>
      </c>
      <c r="H17" s="6" t="s">
        <v>17</v>
      </c>
    </row>
    <row r="18" spans="1:8" x14ac:dyDescent="0.2">
      <c r="A18" s="11"/>
      <c r="B18" s="11"/>
      <c r="C18" s="33"/>
      <c r="D18" s="33"/>
      <c r="E18" s="33"/>
      <c r="F18" s="5" t="s">
        <v>21</v>
      </c>
      <c r="G18" s="6">
        <v>23500</v>
      </c>
      <c r="H18" s="6" t="s">
        <v>20</v>
      </c>
    </row>
    <row r="19" spans="1:8" x14ac:dyDescent="0.2">
      <c r="A19" s="11"/>
      <c r="B19" s="11"/>
      <c r="C19" s="33"/>
      <c r="D19" s="33"/>
      <c r="E19" s="33"/>
      <c r="F19" s="5" t="s">
        <v>23</v>
      </c>
      <c r="G19" s="6">
        <v>19999</v>
      </c>
      <c r="H19" s="6" t="s">
        <v>22</v>
      </c>
    </row>
    <row r="20" spans="1:8" x14ac:dyDescent="0.2">
      <c r="A20" s="11"/>
      <c r="B20" s="11"/>
      <c r="C20" s="33"/>
      <c r="D20" s="33" t="s">
        <v>25</v>
      </c>
      <c r="E20" s="33"/>
      <c r="F20" s="5" t="s">
        <v>12</v>
      </c>
      <c r="G20" s="6">
        <v>45000</v>
      </c>
      <c r="H20" s="6" t="s">
        <v>24</v>
      </c>
    </row>
    <row r="21" spans="1:8" x14ac:dyDescent="0.2">
      <c r="A21" s="11"/>
      <c r="B21" s="11"/>
      <c r="C21" s="33"/>
      <c r="D21" s="33"/>
      <c r="E21" s="33"/>
      <c r="F21" s="5" t="s">
        <v>14</v>
      </c>
      <c r="G21" s="6">
        <v>29500</v>
      </c>
      <c r="H21" s="6" t="s">
        <v>13</v>
      </c>
    </row>
    <row r="22" spans="1:8" x14ac:dyDescent="0.2">
      <c r="A22" s="11"/>
      <c r="B22" s="11"/>
      <c r="C22" s="33"/>
      <c r="D22" s="33"/>
      <c r="E22" s="33"/>
      <c r="F22" s="5" t="s">
        <v>16</v>
      </c>
      <c r="G22" s="6">
        <v>27000</v>
      </c>
      <c r="H22" s="6" t="s">
        <v>82</v>
      </c>
    </row>
    <row r="23" spans="1:8" x14ac:dyDescent="0.2">
      <c r="A23" s="11"/>
      <c r="B23" s="11"/>
      <c r="C23" s="33"/>
      <c r="D23" s="33" t="s">
        <v>18</v>
      </c>
      <c r="E23" s="33"/>
      <c r="F23" s="5" t="s">
        <v>19</v>
      </c>
      <c r="G23" s="6">
        <v>25000</v>
      </c>
      <c r="H23" s="6" t="s">
        <v>15</v>
      </c>
    </row>
    <row r="24" spans="1:8" x14ac:dyDescent="0.2">
      <c r="A24" s="11"/>
      <c r="B24" s="11"/>
      <c r="C24" s="33"/>
      <c r="D24" s="33"/>
      <c r="E24" s="33"/>
      <c r="F24" s="5" t="s">
        <v>21</v>
      </c>
      <c r="G24" s="6">
        <v>23500</v>
      </c>
      <c r="H24" s="6" t="s">
        <v>83</v>
      </c>
    </row>
    <row r="25" spans="1:8" x14ac:dyDescent="0.2">
      <c r="A25" s="11"/>
      <c r="B25" s="11"/>
      <c r="C25" s="33"/>
      <c r="D25" s="33"/>
      <c r="E25" s="33"/>
      <c r="F25" s="5" t="s">
        <v>23</v>
      </c>
      <c r="G25" s="6">
        <v>19999</v>
      </c>
      <c r="H25" s="6" t="s">
        <v>17</v>
      </c>
    </row>
    <row r="26" spans="1:8" x14ac:dyDescent="0.2">
      <c r="A26" s="11"/>
      <c r="B26" s="11"/>
      <c r="C26" s="42"/>
      <c r="D26" s="42"/>
      <c r="E26" s="33"/>
      <c r="F26" s="7" t="s">
        <v>12</v>
      </c>
      <c r="G26" s="8">
        <v>47000</v>
      </c>
      <c r="H26" s="6" t="s">
        <v>76</v>
      </c>
    </row>
    <row r="27" spans="1:8" x14ac:dyDescent="0.2">
      <c r="A27" s="7"/>
      <c r="B27" s="7"/>
      <c r="C27" s="37" t="s">
        <v>69</v>
      </c>
      <c r="D27" s="37" t="s">
        <v>26</v>
      </c>
      <c r="E27" s="37" t="s">
        <v>69</v>
      </c>
      <c r="F27" s="7" t="s">
        <v>14</v>
      </c>
      <c r="G27" s="8">
        <v>33000</v>
      </c>
      <c r="H27" s="8" t="s">
        <v>13</v>
      </c>
    </row>
    <row r="28" spans="1:8" x14ac:dyDescent="0.2">
      <c r="A28" s="7"/>
      <c r="B28" s="7"/>
      <c r="C28" s="37"/>
      <c r="D28" s="37"/>
      <c r="E28" s="37"/>
      <c r="F28" s="7" t="s">
        <v>16</v>
      </c>
      <c r="G28" s="8">
        <v>29000</v>
      </c>
      <c r="H28" s="8" t="s">
        <v>15</v>
      </c>
    </row>
    <row r="29" spans="1:8" x14ac:dyDescent="0.2">
      <c r="A29" s="7"/>
      <c r="B29" s="7"/>
      <c r="C29" s="37"/>
      <c r="D29" s="37"/>
      <c r="E29" s="37"/>
      <c r="F29" s="7" t="s">
        <v>19</v>
      </c>
      <c r="G29" s="8">
        <v>27500</v>
      </c>
      <c r="H29" s="8" t="s">
        <v>17</v>
      </c>
    </row>
    <row r="30" spans="1:8" x14ac:dyDescent="0.2">
      <c r="A30" s="7"/>
      <c r="B30" s="7"/>
      <c r="C30" s="37"/>
      <c r="D30" s="37" t="s">
        <v>18</v>
      </c>
      <c r="E30" s="37"/>
      <c r="F30" s="7" t="s">
        <v>21</v>
      </c>
      <c r="G30" s="8">
        <v>25000</v>
      </c>
      <c r="H30" s="8" t="s">
        <v>20</v>
      </c>
    </row>
    <row r="31" spans="1:8" x14ac:dyDescent="0.2">
      <c r="A31" s="7"/>
      <c r="B31" s="7"/>
      <c r="C31" s="37"/>
      <c r="D31" s="37"/>
      <c r="E31" s="37"/>
      <c r="F31" s="7" t="s">
        <v>23</v>
      </c>
      <c r="G31" s="8">
        <v>23000</v>
      </c>
      <c r="H31" s="8" t="s">
        <v>22</v>
      </c>
    </row>
    <row r="32" spans="1:8" x14ac:dyDescent="0.2">
      <c r="A32" s="7"/>
      <c r="B32" s="7"/>
      <c r="C32" s="37"/>
      <c r="D32" s="37"/>
      <c r="E32" s="37"/>
      <c r="F32" s="7" t="s">
        <v>12</v>
      </c>
      <c r="G32" s="8">
        <v>47000</v>
      </c>
      <c r="H32" s="8" t="s">
        <v>24</v>
      </c>
    </row>
    <row r="33" spans="1:8" x14ac:dyDescent="0.2">
      <c r="A33" s="7"/>
      <c r="B33" s="7"/>
      <c r="C33" s="37"/>
      <c r="D33" s="37" t="s">
        <v>26</v>
      </c>
      <c r="E33" s="37"/>
      <c r="F33" s="7" t="s">
        <v>14</v>
      </c>
      <c r="G33" s="8">
        <v>33000</v>
      </c>
      <c r="H33" s="8" t="s">
        <v>13</v>
      </c>
    </row>
    <row r="34" spans="1:8" x14ac:dyDescent="0.2">
      <c r="A34" s="7"/>
      <c r="B34" s="7"/>
      <c r="C34" s="37"/>
      <c r="D34" s="37"/>
      <c r="E34" s="37"/>
      <c r="F34" s="7" t="s">
        <v>16</v>
      </c>
      <c r="G34" s="8">
        <v>29000</v>
      </c>
      <c r="H34" s="8" t="s">
        <v>15</v>
      </c>
    </row>
    <row r="35" spans="1:8" x14ac:dyDescent="0.2">
      <c r="A35" s="7"/>
      <c r="B35" s="7"/>
      <c r="C35" s="37"/>
      <c r="D35" s="37"/>
      <c r="E35" s="37"/>
      <c r="F35" s="7" t="s">
        <v>19</v>
      </c>
      <c r="G35" s="8">
        <v>27500</v>
      </c>
      <c r="H35" s="8" t="s">
        <v>17</v>
      </c>
    </row>
    <row r="36" spans="1:8" x14ac:dyDescent="0.2">
      <c r="A36" s="7"/>
      <c r="B36" s="7"/>
      <c r="C36" s="37"/>
      <c r="D36" s="37" t="s">
        <v>18</v>
      </c>
      <c r="E36" s="37"/>
      <c r="F36" s="7" t="s">
        <v>21</v>
      </c>
      <c r="G36" s="8">
        <v>25000</v>
      </c>
      <c r="H36" s="8" t="s">
        <v>20</v>
      </c>
    </row>
    <row r="37" spans="1:8" x14ac:dyDescent="0.2">
      <c r="A37" s="7"/>
      <c r="B37" s="7"/>
      <c r="C37" s="37"/>
      <c r="D37" s="37"/>
      <c r="E37" s="37"/>
      <c r="F37" s="7" t="s">
        <v>23</v>
      </c>
      <c r="G37" s="8">
        <v>23000</v>
      </c>
      <c r="H37" s="8" t="s">
        <v>22</v>
      </c>
    </row>
    <row r="38" spans="1:8" x14ac:dyDescent="0.2">
      <c r="C38" s="37"/>
      <c r="D38" s="37"/>
      <c r="E38" s="37"/>
    </row>
  </sheetData>
  <mergeCells count="18">
    <mergeCell ref="C27:C38"/>
    <mergeCell ref="D27:D29"/>
    <mergeCell ref="E27:E38"/>
    <mergeCell ref="D30:D32"/>
    <mergeCell ref="D33:D35"/>
    <mergeCell ref="D36:D38"/>
    <mergeCell ref="C14:C25"/>
    <mergeCell ref="D14:D16"/>
    <mergeCell ref="E14:E26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7"/>
  <sheetViews>
    <sheetView workbookViewId="0">
      <selection activeCell="D29" sqref="D29:D31"/>
    </sheetView>
  </sheetViews>
  <sheetFormatPr baseColWidth="10" defaultRowHeight="16" x14ac:dyDescent="0.2"/>
  <cols>
    <col min="1" max="1" width="20.6640625" bestFit="1" customWidth="1"/>
    <col min="4" max="4" width="13.83203125" bestFit="1" customWidth="1"/>
  </cols>
  <sheetData>
    <row r="1" spans="1:8" x14ac:dyDescent="0.2">
      <c r="A1" s="11" t="s">
        <v>0</v>
      </c>
      <c r="B1" s="11" t="s">
        <v>1</v>
      </c>
      <c r="C1" s="16" t="s">
        <v>2</v>
      </c>
      <c r="D1" s="16" t="s">
        <v>3</v>
      </c>
      <c r="E1" s="16" t="s">
        <v>66</v>
      </c>
      <c r="F1" s="11" t="s">
        <v>4</v>
      </c>
      <c r="G1" s="15" t="s">
        <v>6</v>
      </c>
      <c r="H1" s="11" t="s">
        <v>7</v>
      </c>
    </row>
    <row r="2" spans="1:8" x14ac:dyDescent="0.2">
      <c r="A2" s="11" t="s">
        <v>63</v>
      </c>
      <c r="B2" s="11" t="s">
        <v>86</v>
      </c>
      <c r="C2" s="25" t="s">
        <v>10</v>
      </c>
      <c r="D2" s="29" t="s">
        <v>11</v>
      </c>
      <c r="E2" s="25" t="s">
        <v>10</v>
      </c>
      <c r="F2" s="13" t="s">
        <v>12</v>
      </c>
      <c r="G2" s="14">
        <v>44000</v>
      </c>
      <c r="H2" s="14" t="s">
        <v>72</v>
      </c>
    </row>
    <row r="3" spans="1:8" x14ac:dyDescent="0.2">
      <c r="A3" s="11"/>
      <c r="B3" s="11"/>
      <c r="C3" s="25"/>
      <c r="D3" s="29"/>
      <c r="E3" s="25"/>
      <c r="F3" s="13" t="s">
        <v>14</v>
      </c>
      <c r="G3" s="14">
        <v>34000</v>
      </c>
      <c r="H3" s="14" t="s">
        <v>13</v>
      </c>
    </row>
    <row r="4" spans="1:8" x14ac:dyDescent="0.2">
      <c r="A4" s="11"/>
      <c r="B4" s="11"/>
      <c r="C4" s="25"/>
      <c r="D4" s="29"/>
      <c r="E4" s="25"/>
      <c r="F4" s="13" t="s">
        <v>16</v>
      </c>
      <c r="G4" s="14">
        <v>25500</v>
      </c>
      <c r="H4" s="14" t="s">
        <v>15</v>
      </c>
    </row>
    <row r="5" spans="1:8" x14ac:dyDescent="0.2">
      <c r="A5" s="11"/>
      <c r="B5" s="11"/>
      <c r="C5" s="25"/>
      <c r="D5" s="25" t="s">
        <v>18</v>
      </c>
      <c r="E5" s="25"/>
      <c r="F5" s="13" t="s">
        <v>19</v>
      </c>
      <c r="G5" s="14">
        <v>23000</v>
      </c>
      <c r="H5" s="14" t="s">
        <v>17</v>
      </c>
    </row>
    <row r="6" spans="1:8" x14ac:dyDescent="0.2">
      <c r="A6" s="11"/>
      <c r="B6" s="11"/>
      <c r="C6" s="25"/>
      <c r="D6" s="25"/>
      <c r="E6" s="25"/>
      <c r="F6" s="13" t="s">
        <v>21</v>
      </c>
      <c r="G6" s="14">
        <v>19999</v>
      </c>
      <c r="H6" s="14" t="s">
        <v>20</v>
      </c>
    </row>
    <row r="7" spans="1:8" x14ac:dyDescent="0.2">
      <c r="A7" s="11"/>
      <c r="B7" s="11"/>
      <c r="C7" s="25"/>
      <c r="D7" s="25"/>
      <c r="E7" s="25"/>
      <c r="F7" s="13" t="s">
        <v>23</v>
      </c>
      <c r="G7" s="14">
        <v>18500</v>
      </c>
      <c r="H7" s="14" t="s">
        <v>22</v>
      </c>
    </row>
    <row r="8" spans="1:8" x14ac:dyDescent="0.2">
      <c r="A8" s="11"/>
      <c r="B8" s="11"/>
      <c r="C8" s="25"/>
      <c r="D8" s="29" t="s">
        <v>11</v>
      </c>
      <c r="E8" s="25"/>
      <c r="F8" s="13" t="s">
        <v>12</v>
      </c>
      <c r="G8" s="14">
        <v>44000</v>
      </c>
      <c r="H8" s="14" t="s">
        <v>24</v>
      </c>
    </row>
    <row r="9" spans="1:8" x14ac:dyDescent="0.2">
      <c r="A9" s="11"/>
      <c r="B9" s="11"/>
      <c r="C9" s="25"/>
      <c r="D9" s="29"/>
      <c r="E9" s="25"/>
      <c r="F9" s="13" t="s">
        <v>14</v>
      </c>
      <c r="G9" s="14">
        <v>34000</v>
      </c>
      <c r="H9" s="14" t="s">
        <v>13</v>
      </c>
    </row>
    <row r="10" spans="1:8" x14ac:dyDescent="0.2">
      <c r="A10" s="11"/>
      <c r="B10" s="11"/>
      <c r="C10" s="25"/>
      <c r="D10" s="29"/>
      <c r="E10" s="25"/>
      <c r="F10" s="13" t="s">
        <v>16</v>
      </c>
      <c r="G10" s="14">
        <v>25500</v>
      </c>
      <c r="H10" s="14" t="s">
        <v>15</v>
      </c>
    </row>
    <row r="11" spans="1:8" x14ac:dyDescent="0.2">
      <c r="A11" s="11"/>
      <c r="B11" s="11"/>
      <c r="C11" s="25"/>
      <c r="D11" s="25" t="s">
        <v>18</v>
      </c>
      <c r="E11" s="25"/>
      <c r="F11" s="13" t="s">
        <v>19</v>
      </c>
      <c r="G11" s="14">
        <v>23000</v>
      </c>
      <c r="H11" s="14" t="s">
        <v>17</v>
      </c>
    </row>
    <row r="12" spans="1:8" x14ac:dyDescent="0.2">
      <c r="A12" s="11"/>
      <c r="B12" s="11"/>
      <c r="C12" s="25"/>
      <c r="D12" s="25"/>
      <c r="E12" s="25"/>
      <c r="F12" s="13" t="s">
        <v>21</v>
      </c>
      <c r="G12" s="14">
        <v>19999</v>
      </c>
      <c r="H12" s="14" t="s">
        <v>20</v>
      </c>
    </row>
    <row r="13" spans="1:8" x14ac:dyDescent="0.2">
      <c r="A13" s="11"/>
      <c r="B13" s="11"/>
      <c r="C13" s="25"/>
      <c r="D13" s="25"/>
      <c r="E13" s="25"/>
      <c r="F13" s="13" t="s">
        <v>23</v>
      </c>
      <c r="G13" s="14">
        <v>18500</v>
      </c>
      <c r="H13" s="14" t="s">
        <v>22</v>
      </c>
    </row>
    <row r="14" spans="1:8" x14ac:dyDescent="0.2">
      <c r="A14" s="11"/>
      <c r="B14" s="11"/>
      <c r="C14" s="33" t="s">
        <v>87</v>
      </c>
      <c r="D14" s="33" t="s">
        <v>25</v>
      </c>
      <c r="E14" s="33" t="s">
        <v>87</v>
      </c>
      <c r="F14" s="5" t="s">
        <v>12</v>
      </c>
      <c r="G14" s="6">
        <v>49000</v>
      </c>
      <c r="H14" s="14" t="s">
        <v>24</v>
      </c>
    </row>
    <row r="15" spans="1:8" x14ac:dyDescent="0.2">
      <c r="A15" s="11"/>
      <c r="B15" s="11"/>
      <c r="C15" s="33"/>
      <c r="D15" s="33"/>
      <c r="E15" s="33"/>
      <c r="F15" s="5" t="s">
        <v>14</v>
      </c>
      <c r="G15" s="6">
        <v>40000</v>
      </c>
      <c r="H15" s="6" t="s">
        <v>13</v>
      </c>
    </row>
    <row r="16" spans="1:8" x14ac:dyDescent="0.2">
      <c r="A16" s="11"/>
      <c r="B16" s="11"/>
      <c r="C16" s="33"/>
      <c r="D16" s="33"/>
      <c r="E16" s="33"/>
      <c r="F16" s="5" t="s">
        <v>16</v>
      </c>
      <c r="G16" s="6">
        <v>33000</v>
      </c>
      <c r="H16" s="6" t="s">
        <v>15</v>
      </c>
    </row>
    <row r="17" spans="1:8" x14ac:dyDescent="0.2">
      <c r="A17" s="11"/>
      <c r="B17" s="11"/>
      <c r="C17" s="33"/>
      <c r="D17" s="33" t="s">
        <v>18</v>
      </c>
      <c r="E17" s="33"/>
      <c r="F17" s="5" t="s">
        <v>19</v>
      </c>
      <c r="G17" s="6">
        <v>28000</v>
      </c>
      <c r="H17" s="6" t="s">
        <v>17</v>
      </c>
    </row>
    <row r="18" spans="1:8" x14ac:dyDescent="0.2">
      <c r="A18" s="11"/>
      <c r="B18" s="11"/>
      <c r="C18" s="33"/>
      <c r="D18" s="33"/>
      <c r="E18" s="33"/>
      <c r="F18" s="5" t="s">
        <v>21</v>
      </c>
      <c r="G18" s="6">
        <v>25000</v>
      </c>
      <c r="H18" s="6" t="s">
        <v>20</v>
      </c>
    </row>
    <row r="19" spans="1:8" x14ac:dyDescent="0.2">
      <c r="A19" s="11"/>
      <c r="B19" s="11"/>
      <c r="C19" s="33"/>
      <c r="D19" s="33"/>
      <c r="E19" s="33"/>
      <c r="F19" s="5" t="s">
        <v>23</v>
      </c>
      <c r="G19" s="6">
        <v>23000</v>
      </c>
      <c r="H19" s="6" t="s">
        <v>22</v>
      </c>
    </row>
    <row r="20" spans="1:8" x14ac:dyDescent="0.2">
      <c r="A20" s="11"/>
      <c r="B20" s="11"/>
      <c r="C20" s="33"/>
      <c r="D20" s="33" t="s">
        <v>25</v>
      </c>
      <c r="E20" s="33"/>
      <c r="F20" s="5" t="s">
        <v>12</v>
      </c>
      <c r="G20" s="6">
        <v>49000</v>
      </c>
      <c r="H20" s="6" t="s">
        <v>24</v>
      </c>
    </row>
    <row r="21" spans="1:8" x14ac:dyDescent="0.2">
      <c r="A21" s="11"/>
      <c r="B21" s="11"/>
      <c r="C21" s="33"/>
      <c r="D21" s="33"/>
      <c r="E21" s="33"/>
      <c r="F21" s="5" t="s">
        <v>14</v>
      </c>
      <c r="G21" s="6">
        <v>40000</v>
      </c>
      <c r="H21" s="6" t="s">
        <v>13</v>
      </c>
    </row>
    <row r="22" spans="1:8" x14ac:dyDescent="0.2">
      <c r="A22" s="11"/>
      <c r="B22" s="11"/>
      <c r="C22" s="33"/>
      <c r="D22" s="33"/>
      <c r="E22" s="33"/>
      <c r="F22" s="5" t="s">
        <v>16</v>
      </c>
      <c r="G22" s="6">
        <v>33000</v>
      </c>
      <c r="H22" s="6" t="s">
        <v>82</v>
      </c>
    </row>
    <row r="23" spans="1:8" x14ac:dyDescent="0.2">
      <c r="A23" s="11"/>
      <c r="B23" s="11"/>
      <c r="C23" s="33"/>
      <c r="D23" s="33" t="s">
        <v>18</v>
      </c>
      <c r="E23" s="33"/>
      <c r="F23" s="5" t="s">
        <v>19</v>
      </c>
      <c r="G23" s="6">
        <v>28000</v>
      </c>
      <c r="H23" s="6" t="s">
        <v>15</v>
      </c>
    </row>
    <row r="24" spans="1:8" x14ac:dyDescent="0.2">
      <c r="A24" s="11"/>
      <c r="B24" s="11"/>
      <c r="C24" s="33"/>
      <c r="D24" s="33"/>
      <c r="E24" s="33"/>
      <c r="F24" s="5" t="s">
        <v>21</v>
      </c>
      <c r="G24" s="6">
        <v>25000</v>
      </c>
      <c r="H24" s="6" t="s">
        <v>83</v>
      </c>
    </row>
    <row r="25" spans="1:8" x14ac:dyDescent="0.2">
      <c r="A25" s="11"/>
      <c r="B25" s="11"/>
      <c r="C25" s="33"/>
      <c r="D25" s="33"/>
      <c r="E25" s="33"/>
      <c r="F25" s="5" t="s">
        <v>23</v>
      </c>
      <c r="G25" s="6">
        <v>23000</v>
      </c>
      <c r="H25" s="6" t="s">
        <v>17</v>
      </c>
    </row>
    <row r="26" spans="1:8" x14ac:dyDescent="0.2">
      <c r="A26" s="11"/>
      <c r="B26" s="11"/>
      <c r="C26" s="38" t="s">
        <v>69</v>
      </c>
      <c r="D26" s="38" t="s">
        <v>26</v>
      </c>
      <c r="E26" s="33"/>
      <c r="F26" s="7" t="s">
        <v>12</v>
      </c>
      <c r="G26" s="8">
        <v>56000</v>
      </c>
      <c r="H26" s="6" t="s">
        <v>76</v>
      </c>
    </row>
    <row r="27" spans="1:8" x14ac:dyDescent="0.2">
      <c r="A27" s="7"/>
      <c r="B27" s="7"/>
      <c r="C27" s="39"/>
      <c r="D27" s="39"/>
      <c r="E27" s="37" t="s">
        <v>69</v>
      </c>
      <c r="F27" s="7" t="s">
        <v>14</v>
      </c>
      <c r="G27" s="8">
        <v>48000</v>
      </c>
      <c r="H27" s="8" t="s">
        <v>13</v>
      </c>
    </row>
    <row r="28" spans="1:8" x14ac:dyDescent="0.2">
      <c r="A28" s="7"/>
      <c r="B28" s="7"/>
      <c r="C28" s="39"/>
      <c r="D28" s="40"/>
      <c r="E28" s="37"/>
      <c r="F28" s="7" t="s">
        <v>16</v>
      </c>
      <c r="G28" s="8">
        <v>38000</v>
      </c>
      <c r="H28" s="8" t="s">
        <v>15</v>
      </c>
    </row>
    <row r="29" spans="1:8" x14ac:dyDescent="0.2">
      <c r="A29" s="7"/>
      <c r="B29" s="7"/>
      <c r="C29" s="39"/>
      <c r="D29" s="38" t="s">
        <v>18</v>
      </c>
      <c r="E29" s="37"/>
      <c r="F29" s="7" t="s">
        <v>19</v>
      </c>
      <c r="G29" s="8">
        <v>32000</v>
      </c>
      <c r="H29" s="8" t="s">
        <v>17</v>
      </c>
    </row>
    <row r="30" spans="1:8" x14ac:dyDescent="0.2">
      <c r="A30" s="7"/>
      <c r="B30" s="7"/>
      <c r="C30" s="39"/>
      <c r="D30" s="39"/>
      <c r="E30" s="37"/>
      <c r="F30" s="7" t="s">
        <v>21</v>
      </c>
      <c r="G30" s="8">
        <v>28000</v>
      </c>
      <c r="H30" s="8" t="s">
        <v>20</v>
      </c>
    </row>
    <row r="31" spans="1:8" x14ac:dyDescent="0.2">
      <c r="A31" s="7"/>
      <c r="B31" s="7"/>
      <c r="C31" s="39"/>
      <c r="D31" s="40"/>
      <c r="E31" s="37"/>
      <c r="F31" s="7" t="s">
        <v>23</v>
      </c>
      <c r="G31" s="8">
        <v>26000</v>
      </c>
      <c r="H31" s="8" t="s">
        <v>22</v>
      </c>
    </row>
    <row r="32" spans="1:8" x14ac:dyDescent="0.2">
      <c r="A32" s="7"/>
      <c r="B32" s="7"/>
      <c r="C32" s="39"/>
      <c r="D32" s="38" t="s">
        <v>26</v>
      </c>
      <c r="E32" s="37"/>
      <c r="F32" s="7" t="s">
        <v>12</v>
      </c>
      <c r="G32" s="8">
        <v>56000</v>
      </c>
      <c r="H32" s="8" t="s">
        <v>24</v>
      </c>
    </row>
    <row r="33" spans="1:8" x14ac:dyDescent="0.2">
      <c r="A33" s="7"/>
      <c r="B33" s="7"/>
      <c r="C33" s="39"/>
      <c r="D33" s="39"/>
      <c r="E33" s="37"/>
      <c r="F33" s="7" t="s">
        <v>14</v>
      </c>
      <c r="G33" s="8">
        <v>48000</v>
      </c>
      <c r="H33" s="8" t="s">
        <v>13</v>
      </c>
    </row>
    <row r="34" spans="1:8" x14ac:dyDescent="0.2">
      <c r="A34" s="7"/>
      <c r="B34" s="7"/>
      <c r="C34" s="39"/>
      <c r="D34" s="40"/>
      <c r="E34" s="37"/>
      <c r="F34" s="7" t="s">
        <v>16</v>
      </c>
      <c r="G34" s="8">
        <v>38000</v>
      </c>
      <c r="H34" s="8" t="s">
        <v>15</v>
      </c>
    </row>
    <row r="35" spans="1:8" x14ac:dyDescent="0.2">
      <c r="A35" s="7"/>
      <c r="B35" s="7"/>
      <c r="C35" s="39"/>
      <c r="D35" s="38" t="s">
        <v>18</v>
      </c>
      <c r="E35" s="37"/>
      <c r="F35" s="7" t="s">
        <v>19</v>
      </c>
      <c r="G35" s="8">
        <v>32000</v>
      </c>
      <c r="H35" s="8" t="s">
        <v>17</v>
      </c>
    </row>
    <row r="36" spans="1:8" x14ac:dyDescent="0.2">
      <c r="A36" s="7"/>
      <c r="B36" s="7"/>
      <c r="C36" s="39"/>
      <c r="D36" s="39"/>
      <c r="E36" s="37"/>
      <c r="F36" s="7" t="s">
        <v>21</v>
      </c>
      <c r="G36" s="8">
        <v>28000</v>
      </c>
      <c r="H36" s="8" t="s">
        <v>20</v>
      </c>
    </row>
    <row r="37" spans="1:8" x14ac:dyDescent="0.2">
      <c r="A37" s="7"/>
      <c r="B37" s="7"/>
      <c r="C37" s="40"/>
      <c r="D37" s="40"/>
      <c r="E37" s="37"/>
      <c r="F37" s="7" t="s">
        <v>23</v>
      </c>
      <c r="G37" s="8">
        <v>26000</v>
      </c>
      <c r="H37" s="8" t="s">
        <v>22</v>
      </c>
    </row>
  </sheetData>
  <mergeCells count="18">
    <mergeCell ref="D29:D31"/>
    <mergeCell ref="E27:E37"/>
    <mergeCell ref="D35:D37"/>
    <mergeCell ref="D32:D34"/>
    <mergeCell ref="D26:D28"/>
    <mergeCell ref="C26:C37"/>
    <mergeCell ref="C14:C25"/>
    <mergeCell ref="D14:D16"/>
    <mergeCell ref="E14:E26"/>
    <mergeCell ref="D17:D19"/>
    <mergeCell ref="D20:D22"/>
    <mergeCell ref="D23:D25"/>
    <mergeCell ref="C2:C13"/>
    <mergeCell ref="D2:D4"/>
    <mergeCell ref="E2:E13"/>
    <mergeCell ref="D5:D7"/>
    <mergeCell ref="D8:D10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index_sheet</vt:lpstr>
      <vt:lpstr>4D_leh_kardungla</vt:lpstr>
      <vt:lpstr>4D_manali</vt:lpstr>
      <vt:lpstr>5D_nubra_pangong</vt:lpstr>
      <vt:lpstr>6D_kashmir_srinagar</vt:lpstr>
      <vt:lpstr>6D_leh_nubra_hanle</vt:lpstr>
      <vt:lpstr>6D_leh_sham_pangong</vt:lpstr>
      <vt:lpstr>6D_leh_turtuk</vt:lpstr>
      <vt:lpstr>6D_spiti_manali</vt:lpstr>
      <vt:lpstr>7D_leh_turtuk_hanle</vt:lpstr>
      <vt:lpstr>7D_leh_lakes</vt:lpstr>
      <vt:lpstr>7D_leh_nubra_hanle</vt:lpstr>
      <vt:lpstr>8D_leh_umlingla</vt:lpstr>
      <vt:lpstr>8D_leh_tso_moriri_manali8D_leh_</vt:lpstr>
      <vt:lpstr>8D_manali_leh</vt:lpstr>
      <vt:lpstr>8D_srinagar_leh</vt:lpstr>
      <vt:lpstr>8D_leh_turtuk_hanle</vt:lpstr>
      <vt:lpstr>9D_leh_to_srinagar</vt:lpstr>
      <vt:lpstr>9D_srinagar_leh_manali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Mailvahanan</dc:creator>
  <cp:lastModifiedBy>Gautham Mailvahanan</cp:lastModifiedBy>
  <dcterms:created xsi:type="dcterms:W3CDTF">2026-03-07T11:06:41Z</dcterms:created>
  <dcterms:modified xsi:type="dcterms:W3CDTF">2026-03-27T11:29:13Z</dcterms:modified>
</cp:coreProperties>
</file>